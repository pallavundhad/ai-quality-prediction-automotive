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01 Feature List" sheetId="1" r:id="rId1"/>
    <sheet name="02 RICE Scoring" sheetId="2" r:id="rId2"/>
    <sheet name="03 MVP Defini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<sst xmlns="http://schemas.openxmlformats.org/spreadsheetml/2006/main" count="637" uniqueCount="404">
  <si>
    <t>PROJECT_1 FEATURE LIST RICE &amp; KANO CLASSIFICATION</t>
  </si>
  <si>
    <t>AI-Powered Predictive Quality Control  |  50 features brainstormed and categorised using the Kano Model</t>
  </si>
  <si>
    <t>ID</t>
  </si>
  <si>
    <t>Feature Name</t>
  </si>
  <si>
    <t>Description</t>
  </si>
  <si>
    <t>Primary User(s)</t>
  </si>
  <si>
    <t>Kano Category</t>
  </si>
  <si>
    <t>Interview Priority</t>
  </si>
  <si>
    <t>Notes</t>
  </si>
  <si>
    <t>F01</t>
  </si>
  <si>
    <t>Real-time defect probability score</t>
  </si>
  <si>
    <t>ML model scores each part 0-100 every 10 seconds based on sensor data</t>
  </si>
  <si>
    <t>Klaus, Sarah, Michael</t>
  </si>
  <si>
    <t>BASIC</t>
  </si>
  <si>
    <t>⭐ Must-have</t>
  </si>
  <si>
    <t>Core product value</t>
  </si>
  <si>
    <t>F02</t>
  </si>
  <si>
    <t>SMS / Email alerts</t>
  </si>
  <si>
    <t>Notify Klaus by SMS when quality score &lt;70; daily email to Michael</t>
  </si>
  <si>
    <t>Klaus, Michael</t>
  </si>
  <si>
    <t>Quick win, highest RICE</t>
  </si>
  <si>
    <t>F03</t>
  </si>
  <si>
    <t>Root cause analysis</t>
  </si>
  <si>
    <t>Show top 3 sensor factors driving defect risk with plain-language recommendation</t>
  </si>
  <si>
    <t>Klaus, Sarah</t>
  </si>
  <si>
    <t>Explainability = adoption</t>
  </si>
  <si>
    <t>F04</t>
  </si>
  <si>
    <t>Cost savings calculator</t>
  </si>
  <si>
    <t>Live €€€ savings vs baseline, updates in real time on dashboard</t>
  </si>
  <si>
    <t>Michael</t>
  </si>
  <si>
    <t>Differentiator vs competitors</t>
  </si>
  <si>
    <t>F05</t>
  </si>
  <si>
    <t>Quality dashboard (web)</t>
  </si>
  <si>
    <t>Browser-based dashboard showing current score, trend, alert status</t>
  </si>
  <si>
    <t>Visual centrepiece</t>
  </si>
  <si>
    <t>F06</t>
  </si>
  <si>
    <t>Tool wear prediction alert</t>
  </si>
  <si>
    <t>Early warning when tool wear nears failure threshold (180 min vs current 240 min)</t>
  </si>
  <si>
    <t>Klaus</t>
  </si>
  <si>
    <t>PERFORMANCE</t>
  </si>
  <si>
    <t>🔵 High</t>
  </si>
  <si>
    <t>Prevents 23% of failures</t>
  </si>
  <si>
    <t>F07</t>
  </si>
  <si>
    <t>7-day historical trends</t>
  </si>
  <si>
    <t>Line chart showing quality score &amp; defect count over last 7 days</t>
  </si>
  <si>
    <t>Sarah, Michael</t>
  </si>
  <si>
    <t>Pattern identification</t>
  </si>
  <si>
    <t>F08</t>
  </si>
  <si>
    <t>Shift performance comparison</t>
  </si>
  <si>
    <t>Compare quality scores across morning / afternoon / night shifts</t>
  </si>
  <si>
    <t>Operational insight for Michael</t>
  </si>
  <si>
    <t>F09</t>
  </si>
  <si>
    <t>SAP QM data export</t>
  </si>
  <si>
    <t>One-click Excel export formatted for SAP QM import</t>
  </si>
  <si>
    <t>🟡 Medium</t>
  </si>
  <si>
    <t>Interim before full SAP API</t>
  </si>
  <si>
    <t>F10</t>
  </si>
  <si>
    <t>Visual anomaly detection (camera AI)</t>
  </si>
  <si>
    <t>CNN model analyses camera images for visible defects (scratches, dents)</t>
  </si>
  <si>
    <t>Sarah</t>
  </si>
  <si>
    <t>v2.0 needs camera hardware</t>
  </si>
  <si>
    <t>F11</t>
  </si>
  <si>
    <t>Mobile app (iOS + Android)</t>
  </si>
  <si>
    <t>Native mobile app for push notifications and dashboard on phone</t>
  </si>
  <si>
    <t>v2.0 web works on mobile</t>
  </si>
  <si>
    <t>F12</t>
  </si>
  <si>
    <t>Defect type classification</t>
  </si>
  <si>
    <t>Classify defect as: dimensional / surface / assembly / material</t>
  </si>
  <si>
    <t>Helps root cause analysis</t>
  </si>
  <si>
    <t>F13</t>
  </si>
  <si>
    <t>False alarm feedback loop</t>
  </si>
  <si>
    <t>Operators mark false positives, model retrains on feedback</t>
  </si>
  <si>
    <t>Reduces false positive rate over time</t>
  </si>
  <si>
    <t>F14</t>
  </si>
  <si>
    <t>Automated management reports</t>
  </si>
  <si>
    <t>Weekly PDF report auto-sent to Michael with KPI summary</t>
  </si>
  <si>
    <t>Reduces admin burden</t>
  </si>
  <si>
    <t>F15</t>
  </si>
  <si>
    <t>Predictive maintenance integration</t>
  </si>
  <si>
    <t>Link quality defects to equipment health for combined prediction</t>
  </si>
  <si>
    <t>DELIGHTER</t>
  </si>
  <si>
    <t>🟢 Delighter</t>
  </si>
  <si>
    <t>v3.0 separate product scope</t>
  </si>
  <si>
    <t>F16</t>
  </si>
  <si>
    <t>Multi-language support (DE/EN)</t>
  </si>
  <si>
    <t>Full German &amp; English UI switchable per user</t>
  </si>
  <si>
    <t>All</t>
  </si>
  <si>
    <t>Germany-first requirement</t>
  </si>
  <si>
    <t>F17</t>
  </si>
  <si>
    <t>Role-based access control</t>
  </si>
  <si>
    <t>Different views for Quality Manager / Data Scientist / Production Director</t>
  </si>
  <si>
    <t>Enterprise security requirement</t>
  </si>
  <si>
    <t>F18</t>
  </si>
  <si>
    <t>One-click Excel data export</t>
  </si>
  <si>
    <t>Download all quality data as formatted .xlsx at any time</t>
  </si>
  <si>
    <t>Manual bridge to SAP</t>
  </si>
  <si>
    <t>F19</t>
  </si>
  <si>
    <t>Voice alerts on factory floor</t>
  </si>
  <si>
    <t>Speaker system announces alerts in German on factory floor</t>
  </si>
  <si>
    <t>Useful but older workforce may resist</t>
  </si>
  <si>
    <t>F20</t>
  </si>
  <si>
    <t>AR overlay for inspectors</t>
  </si>
  <si>
    <t>Augmented reality showing defect location on part during inspection</t>
  </si>
  <si>
    <t>Low RICE too complex, older workforce</t>
  </si>
  <si>
    <t>F21</t>
  </si>
  <si>
    <t>OEE integration</t>
  </si>
  <si>
    <t>Combine quality score with Overall Equipment Effectiveness tracking</t>
  </si>
  <si>
    <t>Michael's key board metric</t>
  </si>
  <si>
    <t>F22</t>
  </si>
  <si>
    <t>Supplier quality tracking</t>
  </si>
  <si>
    <t>Track defect patterns linked back to specific material batches/suppliers</t>
  </si>
  <si>
    <t>v2.0 feature</t>
  </si>
  <si>
    <t>F23</t>
  </si>
  <si>
    <t>Automated model retraining pipeline</t>
  </si>
  <si>
    <t>Model auto-retrains weekly on new production data</t>
  </si>
  <si>
    <t>Prevents model drift</t>
  </si>
  <si>
    <t>F24</t>
  </si>
  <si>
    <t>Confidence score display</t>
  </si>
  <si>
    <t>Show AI certainty % alongside each prediction</t>
  </si>
  <si>
    <t>Builds Klaus's trust gradually</t>
  </si>
  <si>
    <t>F25</t>
  </si>
  <si>
    <t>What-if scenario analysis</t>
  </si>
  <si>
    <t>What if we change torque setting by 10% impact simulator</t>
  </si>
  <si>
    <t>Advanced analytics for v2.0</t>
  </si>
  <si>
    <t>F26</t>
  </si>
  <si>
    <t>Production line comparison</t>
  </si>
  <si>
    <t>Compare quality scores across Line 1 / Line 3 / Line 7 simultaneously</t>
  </si>
  <si>
    <t>Scale-out feature for v1.5</t>
  </si>
  <si>
    <t>F27</t>
  </si>
  <si>
    <t>Quality audit trail</t>
  </si>
  <si>
    <t>Immutable log of all predictions, alerts, and operator actions (compliance)</t>
  </si>
  <si>
    <t>IATF 16949 compliance requirement</t>
  </si>
  <si>
    <t>F28</t>
  </si>
  <si>
    <t>Rework routing suggestions</t>
  </si>
  <si>
    <t>Automatically suggest: scrap / rework / pass based on defect probability</t>
  </si>
  <si>
    <t>Saves decision time for inspectors</t>
  </si>
  <si>
    <t>F29</t>
  </si>
  <si>
    <t>Inspection priority queue</t>
  </si>
  <si>
    <t>Rank parts by defect probability inspect highest-risk first</t>
  </si>
  <si>
    <t>Optimises inspector time</t>
  </si>
  <si>
    <t>F30</t>
  </si>
  <si>
    <t>Batch quality analysis</t>
  </si>
  <si>
    <t>Analyse entire production batches rather than individual parts</t>
  </si>
  <si>
    <t>Statistical process control use case</t>
  </si>
  <si>
    <t>F31</t>
  </si>
  <si>
    <t>First-pass yield (FPY) tracking</t>
  </si>
  <si>
    <t>Calculate and trend FPY automatically from quality score data</t>
  </si>
  <si>
    <t>Michael's most-watched metric</t>
  </si>
  <si>
    <t>F32</t>
  </si>
  <si>
    <t>Customer complaint correlation</t>
  </si>
  <si>
    <t>Link field warranty claims back to specific production batches</t>
  </si>
  <si>
    <t>Long feedback loop v2.0</t>
  </si>
  <si>
    <t>F33</t>
  </si>
  <si>
    <t>A/B testing framework</t>
  </si>
  <si>
    <t>Test different alert thresholds measure impact on defect rate</t>
  </si>
  <si>
    <t>Data science power feature</t>
  </si>
  <si>
    <t>F34</t>
  </si>
  <si>
    <t>QR code scanning</t>
  </si>
  <si>
    <t>Scan part QR code for instant quality check and history</t>
  </si>
  <si>
    <t>Nice demo feature, low daily impact</t>
  </si>
  <si>
    <t>F35</t>
  </si>
  <si>
    <t>Video recording of defect events</t>
  </si>
  <si>
    <t>Capture 10-second video clip when defect alert fires</t>
  </si>
  <si>
    <t>Useful for training, high storage cost</t>
  </si>
  <si>
    <t>F36</t>
  </si>
  <si>
    <t>Energy consumption correlation</t>
  </si>
  <si>
    <t>Analyse relationship between energy usage patterns and defect rates</t>
  </si>
  <si>
    <t>Academic interest, low user impact</t>
  </si>
  <si>
    <t>F37</t>
  </si>
  <si>
    <t>Environmental monitoring</t>
  </si>
  <si>
    <t>Track humidity, air quality, ambient temp alongside production data</t>
  </si>
  <si>
    <t>Sensor availability varies by plant</t>
  </si>
  <si>
    <t>F38</t>
  </si>
  <si>
    <t>Compliance report generation (IATF / VDA)</t>
  </si>
  <si>
    <t>Auto-generate IATF 16949 and VDA 6.3 audit reports from data</t>
  </si>
  <si>
    <t>Legal requirement in German automotive</t>
  </si>
  <si>
    <t>F39</t>
  </si>
  <si>
    <t>Customer portal (BMW/Daimler access)</t>
  </si>
  <si>
    <t>Allow BMW quality teams to view supplier quality metrics directly</t>
  </si>
  <si>
    <t>Requires customer agreement v3.0</t>
  </si>
  <si>
    <t>F40</t>
  </si>
  <si>
    <t>Industry benchmark comparison</t>
  </si>
  <si>
    <t>Compare defect rate vs industry average and top-quartile suppliers</t>
  </si>
  <si>
    <t>Needs industry data partnerships</t>
  </si>
  <si>
    <t>F41</t>
  </si>
  <si>
    <t>Machine health score</t>
  </si>
  <si>
    <t>Predict machine degradation separately from quality prediction</t>
  </si>
  <si>
    <t>Adjacent to predictive maintenance</t>
  </si>
  <si>
    <t>F42</t>
  </si>
  <si>
    <t>Operator performance tracking</t>
  </si>
  <si>
    <t>Track quality outcomes by individual operator (shift/person level)</t>
  </si>
  <si>
    <t>Sensitive, union considerations in DE</t>
  </si>
  <si>
    <t>F43</t>
  </si>
  <si>
    <t>Offline mode</t>
  </si>
  <si>
    <t>Dashboard works without internet, factory floor has spotty WiFi</t>
  </si>
  <si>
    <t>German factory WiFi often poor</t>
  </si>
  <si>
    <t>F44</t>
  </si>
  <si>
    <t>MES system integration</t>
  </si>
  <si>
    <t>Bi-directional sync with Manufacturing Execution System</t>
  </si>
  <si>
    <t>Critical for enterprise adoption v2.0</t>
  </si>
  <si>
    <t>F45</t>
  </si>
  <si>
    <t>API for custom integrations</t>
  </si>
  <si>
    <t>REST API for developers to build custom dashboards or workflows</t>
  </si>
  <si>
    <t>Platform play for v3.0</t>
  </si>
  <si>
    <t>F46</t>
  </si>
  <si>
    <t>3D defect location visualisation</t>
  </si>
  <si>
    <t>Interactive 3D model showing exactly where defect is on part</t>
  </si>
  <si>
    <t>Very impressive demo, high effort</t>
  </si>
  <si>
    <t>F47</t>
  </si>
  <si>
    <t>Dark mode UI</t>
  </si>
  <si>
    <t>Dark colour scheme for factory screens in low-light environments</t>
  </si>
  <si>
    <t>Small effort, surprising delight</t>
  </si>
  <si>
    <t>F48</t>
  </si>
  <si>
    <t>Cross-plant benchmarking</t>
  </si>
  <si>
    <t>Compare quality across multiple factory sites in same company</t>
  </si>
  <si>
    <t>Enterprise feature for v3.0 customers</t>
  </si>
  <si>
    <t>F49</t>
  </si>
  <si>
    <t>Automatic production line stop</t>
  </si>
  <si>
    <t>Trigger automatic production halt if quality score &lt;50 for 5 consecutive parts</t>
  </si>
  <si>
    <t>High impact but requires safety review</t>
  </si>
  <si>
    <t>F50</t>
  </si>
  <si>
    <t>Model performance dashboard</t>
  </si>
  <si>
    <t>Data scientists track model accuracy, drift, and retraining status</t>
  </si>
  <si>
    <t>Internal ML ops tool, Sarah loves this</t>
  </si>
  <si>
    <t>KANO MODEL KEY:   BASIC = must-have (product fails without it)   |   PERFORMANCE = more is better   |   DELIGHTER = unexpected wow factor</t>
  </si>
  <si>
    <t>PROJECT 1 — RICE PRIORITISATION FRAMEWORK</t>
  </si>
  <si>
    <t>RICE Score = (Reach × Impact × Confidence) ÷ Effort   |   Higher score = higher priority   |   Blue text = inputs you can change</t>
  </si>
  <si>
    <t>ID / Feature</t>
  </si>
  <si>
    <t>REACH
(1–10)
How many of the 3 personas use this feature regularly?
10 = all 3 daily  •  5 = 1 persona daily  •  1 = rarely used</t>
  </si>
  <si>
    <t>IMPACT
(1–5)
How much does it improve their #1 metric?
5 = solves core pain  •  3 = noticeable  •  1 = marginal</t>
  </si>
  <si>
    <t>CONFIDENCE
(0–1.0)
How certain are we this will work?
1.0 = proven  •  0.8 = strong hypothesis  •  0.5 = guess</t>
  </si>
  <si>
    <t>EFFORT
(months)
Engineering months to build for MVP
0.5 = 2 weeks  •  1 = 1 month  •  3 = complex feature</t>
  </si>
  <si>
    <t>RICE
SCORE</t>
  </si>
  <si>
    <t>PRIORITY
TIER</t>
  </si>
  <si>
    <t>IN
MVP?</t>
  </si>
  <si>
    <t>PM RATIONALE</t>
  </si>
  <si>
    <t>F02: SMS / Email alerts</t>
  </si>
  <si>
    <t>✅ MVP</t>
  </si>
  <si>
    <t>Yes</t>
  </si>
  <si>
    <t>In MVP: Quick win, zero risk, Klaus needs this</t>
  </si>
  <si>
    <t>F16: Multi-language DE/EN</t>
  </si>
  <si>
    <t>In MVP: Germany-first requirement. Low effort</t>
  </si>
  <si>
    <t>F04: Cost savings calculator</t>
  </si>
  <si>
    <t>In MVP: Gets board approval. Differentiates from all competitors</t>
  </si>
  <si>
    <t>F29: Inspection priority queue</t>
  </si>
  <si>
    <t>⏭ v1.5</t>
  </si>
  <si>
    <t>No</t>
  </si>
  <si>
    <t>v1.5: Optimises inspector time. Low effort</t>
  </si>
  <si>
    <t>F27: Quality audit trail</t>
  </si>
  <si>
    <t>In MVP: Compliance requirement (IATF 16949). Low effort</t>
  </si>
  <si>
    <t>F31: First-pass yield tracking</t>
  </si>
  <si>
    <t>In MVP: Michael's #1 board metric. Low build effort</t>
  </si>
  <si>
    <t>F28: Rework routing suggestions</t>
  </si>
  <si>
    <t>v1.5: Saves decision time. Quick win post-MVP</t>
  </si>
  <si>
    <t>F18: Excel data export</t>
  </si>
  <si>
    <t>In MVP: Bridge to SAP. Trivial to build</t>
  </si>
  <si>
    <t>F01: Real-time defect score</t>
  </si>
  <si>
    <t>In MVP: Core product value. Without this, nothing works</t>
  </si>
  <si>
    <t>F06: Tool wear prediction</t>
  </si>
  <si>
    <t>In MVP: Prevents 23% of failures. Uses existing data</t>
  </si>
  <si>
    <t>F05: Quality dashboard (web)</t>
  </si>
  <si>
    <t>In MVP: Visual centrepiece for all 3 personas</t>
  </si>
  <si>
    <t>F07: 7-day historical trends</t>
  </si>
  <si>
    <t>In MVP: Pattern ID for Sarah. Shift management for Michael</t>
  </si>
  <si>
    <t>F17: Role-based access control</t>
  </si>
  <si>
    <t>In MVP: Enterprise security requirement</t>
  </si>
  <si>
    <t>F26: Production line comparison</t>
  </si>
  <si>
    <t>v1.5: Needed when we scale to 3 lines</t>
  </si>
  <si>
    <t>F03: Root cause analysis</t>
  </si>
  <si>
    <t>In MVP: Explainability = trust = adoption (critical)</t>
  </si>
  <si>
    <t>F24: Confidence score display</t>
  </si>
  <si>
    <t>⬜ v2.0</t>
  </si>
  <si>
    <t>v2.0: Helpful but secondary to root cause analysis</t>
  </si>
  <si>
    <t>F08: Shift performance comparison</t>
  </si>
  <si>
    <t>v1.5: Michael uses for management decisions</t>
  </si>
  <si>
    <t>F14: Auto management reports</t>
  </si>
  <si>
    <t>v2.0: Good quality-of-life. Not critical for pilot</t>
  </si>
  <si>
    <t>F13: False alarm feedback loop</t>
  </si>
  <si>
    <t>v1.5: Reduces false positives over time (model improves)</t>
  </si>
  <si>
    <t>F21: OEE integration</t>
  </si>
  <si>
    <t>v1.5: Michael's key board metric. Moderate effort</t>
  </si>
  <si>
    <t>F50: Model performance dashboard</t>
  </si>
  <si>
    <t>v1.5: Sarah needs this for model monitoring</t>
  </si>
  <si>
    <t>F38: Compliance report (IATF/VDA)</t>
  </si>
  <si>
    <t>v1.5: German legal requirement. Important but not day-1</t>
  </si>
  <si>
    <t>F47: Dark mode UI</t>
  </si>
  <si>
    <t>❌ Backlog</t>
  </si>
  <si>
    <t>Backlog: Low effort but not a priority over core features</t>
  </si>
  <si>
    <t>F43: Offline mode</t>
  </si>
  <si>
    <t>v1.5: German factory WiFi is poor. Important for reliability</t>
  </si>
  <si>
    <t>F30: Batch quality analysis</t>
  </si>
  <si>
    <t>v2.0: Statistical use case — Sarah driven</t>
  </si>
  <si>
    <t>F23: Auto model retraining pipeline</t>
  </si>
  <si>
    <t>v1.5: Prevents model drift without manual work</t>
  </si>
  <si>
    <t>F11: Mobile app</t>
  </si>
  <si>
    <t>v2.0: Web works on mobile browser. Enough for MVP</t>
  </si>
  <si>
    <t>F12: Defect type classification</t>
  </si>
  <si>
    <t>v2.0: More data needed for training. Good but not urgent</t>
  </si>
  <si>
    <t>F44: MES integration</t>
  </si>
  <si>
    <t>v2.0: Complex integration. Needed for enterprise rollout</t>
  </si>
  <si>
    <t>F34: QR code scanning</t>
  </si>
  <si>
    <t>Backlog: Nice demo but low daily value</t>
  </si>
  <si>
    <t>F19: Voice alerts</t>
  </si>
  <si>
    <t>Backlog: Older workforce may resist. Nice-to-have</t>
  </si>
  <si>
    <t>F09: SAP QM export</t>
  </si>
  <si>
    <t>v2.0: SAP APIs are complex. Excel export bridges gap</t>
  </si>
  <si>
    <t>F22: Supplier quality tracking</t>
  </si>
  <si>
    <t>v2.0: Needs supplier data access. Long feedback loop</t>
  </si>
  <si>
    <t>F41: Machine health score</t>
  </si>
  <si>
    <t>v2.0: Adjacent scope. Risk of feature bloat in MVP</t>
  </si>
  <si>
    <t>F10: Visual anomaly detection</t>
  </si>
  <si>
    <t>v2.0: Needs camera hardware (€30K CapEx). Delays 2 months</t>
  </si>
  <si>
    <t>F32: Customer complaint correlation</t>
  </si>
  <si>
    <t>v2.0: Very long feedback loop. Data not available at MVP</t>
  </si>
  <si>
    <t>F42: Operator performance tracking</t>
  </si>
  <si>
    <t>v2.0: Sensitive in Germany (works council / unions)</t>
  </si>
  <si>
    <t>F36: Energy correlation</t>
  </si>
  <si>
    <t>Backlog: Low user impact. Research feature</t>
  </si>
  <si>
    <t>F33: A/B testing framework</t>
  </si>
  <si>
    <t>Backlog: Sarah loves it but Klaus/Michael never use it</t>
  </si>
  <si>
    <t>F37: Environmental monitoring</t>
  </si>
  <si>
    <t>Backlog: Sensor availability varies. Low RICE</t>
  </si>
  <si>
    <t>F35: Video recording defects</t>
  </si>
  <si>
    <t>Backlog: High storage cost, limited decision impact</t>
  </si>
  <si>
    <t>F40: Industry benchmarks</t>
  </si>
  <si>
    <t>Backlog: Needs industry data partnership</t>
  </si>
  <si>
    <t>F25: What-if scenario analysis</t>
  </si>
  <si>
    <t>Backlog: Complex feature, limited daily use</t>
  </si>
  <si>
    <t>F49: Auto production line stop</t>
  </si>
  <si>
    <t>Backlog: High safety risk. Needs regulatory review</t>
  </si>
  <si>
    <t>F48: Cross-plant benchmarking</t>
  </si>
  <si>
    <t>Backlog: Enterprise only. Premature for MVP</t>
  </si>
  <si>
    <t>F45: API platform</t>
  </si>
  <si>
    <t>Backlog: Platform play — only relevant at enterprise scale</t>
  </si>
  <si>
    <t>F15: Predictive maintenance link</t>
  </si>
  <si>
    <t>Backlog: Different problem, different stakeholders. v3.0+</t>
  </si>
  <si>
    <t>F39: Customer portal</t>
  </si>
  <si>
    <t>Backlog: Needs BMW agreement. v3.0 partnership</t>
  </si>
  <si>
    <t>F46: 3D defect visualisation</t>
  </si>
  <si>
    <t>Backlog: Impressive demo, very high effort, low daily value</t>
  </si>
  <si>
    <t>F20: AR overlay inspectors</t>
  </si>
  <si>
    <t>Backlog: Low RICE. Workforce too old. High effort</t>
  </si>
  <si>
    <t>SCORE GUIDE:   🟢 Green (≥15) = Build in MVP   |   🟡 Orange (8-14) = Next release   |   🔴 Red (&lt;8) = Backlog or cut   |   Blue text = inputs (change these to model your own scenarios)</t>
  </si>
  <si>
    <t>PROJECT 1 — MVP DEFINITION &amp; TRADE-OFF DOCUMENTATION</t>
  </si>
  <si>
    <t>v1.0 — 3-month pilot on a single production line  |  Goal: prove 20% defect reduction  |  Budget: €150,000</t>
  </si>
  <si>
    <t>GOAL</t>
  </si>
  <si>
    <t>Mission Statement</t>
  </si>
  <si>
    <t>Prove 20% defect reduction on ONE production line in 3 months, justifying €150K budget for plant-wide rollout.</t>
  </si>
  <si>
    <t>SUCCESS CRITERIA</t>
  </si>
  <si>
    <t>Quantitative</t>
  </si>
  <si>
    <t>Defect rate: 4.1% → &lt;3.3% (20% reduction confirmed by data)</t>
  </si>
  <si>
    <t/>
  </si>
  <si>
    <t>False positive rate: &lt;10% (Michael's hard requirement — or operators ignore it)</t>
  </si>
  <si>
    <t>System uptime: &gt;99% (cannot break the production line)</t>
  </si>
  <si>
    <t>Alert response time: &lt;100ms (real-time requirement)</t>
  </si>
  <si>
    <t>Qualitative</t>
  </si>
  <si>
    <t>Klaus uses dashboard daily without being prompted</t>
  </si>
  <si>
    <t>Klaus follows AI recommendations at least 80% of the time</t>
  </si>
  <si>
    <t>Michael references dashboard in weekly production meetings</t>
  </si>
  <si>
    <t>Business Gate</t>
  </si>
  <si>
    <t>€500,000+ demonstrated savings → board approves plant-wide budget</t>
  </si>
  <si>
    <t>MVP FEATURES (11 features, 3-month build)</t>
  </si>
  <si>
    <t>F01 — Real-time defect score</t>
  </si>
  <si>
    <t>ML model scores each part 0-100 every 10 seconds. Core product value — nothing works without this.</t>
  </si>
  <si>
    <t>F02 — SMS / Email alerts</t>
  </si>
  <si>
    <t>Notify Klaus instantly when score &lt;70. Highest RICE score. Klaus can't watch screen 24/7.</t>
  </si>
  <si>
    <t>F03 — Root cause analysis</t>
  </si>
  <si>
    <t>Show top 3 contributing factors with plain-language recommendation. Explainability = trust = adoption.</t>
  </si>
  <si>
    <t>F04 — Cost savings calculator</t>
  </si>
  <si>
    <t>Live EUR savings vs baseline on dashboard. Gets board approval. Only product on market with this.</t>
  </si>
  <si>
    <t>F05 — Quality dashboard (web)</t>
  </si>
  <si>
    <t>Browser dashboard with quality score, trend, alert status. Visual centrepiece — Klaus shows to visitors.</t>
  </si>
  <si>
    <t>F07 — 7-day historical trends</t>
  </si>
  <si>
    <t>Line chart of quality score last 7 days. Pattern identification for Sarah. Shift mgmt for Michael.</t>
  </si>
  <si>
    <t>F16 — German / English UI</t>
  </si>
  <si>
    <t>Full DE/EN language switch. Germany-first requirement. Low effort — 2 weeks.</t>
  </si>
  <si>
    <t>F17 — Role-based access control</t>
  </si>
  <si>
    <t>Klaus sees alerts. Sarah sees model data. Michael sees €€€. Enterprise security baseline.</t>
  </si>
  <si>
    <t>F18 — One-click Excel export</t>
  </si>
  <si>
    <t>Download all data as formatted .xlsx. Bridges gap to SAP until v1.5 integration.</t>
  </si>
  <si>
    <t>F27 — Quality audit trail</t>
  </si>
  <si>
    <t>Immutable log of all predictions and actions. IATF 16949 compliance — legal requirement.</t>
  </si>
  <si>
    <t>F31 — First-pass yield (FPY) tracking</t>
  </si>
  <si>
    <t>Calculate and trend FPY automatically. Michael's #1 board metric. Low build effort.</t>
  </si>
  <si>
    <t>NOT IN MVP — AND WHY (Interview gold: shows PM judgment)</t>
  </si>
  <si>
    <t>❌ F10 — Visual AI (cameras)</t>
  </si>
  <si>
    <t>Needs camera hardware (€30K CapEx + 2-month procurement delay). Sensor-based covers 80% of defect types. Add in v2.0 after ROI proven.</t>
  </si>
  <si>
    <t>❌ F09 — Full SAP integration</t>
  </si>
  <si>
    <t>SAP APIs take 2-3 months of engineering alone. Excel export bridges the gap. Never delay MVP for an integration.</t>
  </si>
  <si>
    <t>❌ F11 — Mobile app</t>
  </si>
  <si>
    <t>Web dashboard works perfectly on mobile browser. Native app is polish, not value. Build when users demand it.</t>
  </si>
  <si>
    <t>❌ F15 — Predictive maintenance</t>
  </si>
  <si>
    <t>Separate problem, separate stakeholders, separate budget. Scope creep kills pilots. v3.0 partnership discussion.</t>
  </si>
  <si>
    <t>❌ F20 — AR overlay</t>
  </si>
  <si>
    <t>RICE score: 0.63 (lowest of all 50 features). Average inspector age is 58. High effort, low adoption probability.</t>
  </si>
  <si>
    <t>KEY TRADE-OFFS (Prepare to discuss these in every interview)</t>
  </si>
  <si>
    <t>Decision 1: Sensor vs Camera</t>
  </si>
  <si>
    <t>CHOSE: Sensor-based detection.  WHY: Sensors already installed — zero CapEx, zero procurement delay, 3-month deployment. TRADE-OFF: Miss visual defects (scratches, dents) — covered in v2.0. RESULT: 80% of defect types still detectable from sensor patterns.</t>
  </si>
  <si>
    <t>Decision 2: ROI Calculator in MVP</t>
  </si>
  <si>
    <t>CHOSE: Include cost calculator in MVP (unusual).  WHY: Michael's last 2 AI pilots were cancelled because they had no business case. This feature costs 1 month but prevents project cancellation. TRADE-OFF: Less time on ML model refinement. RESULT: 87% accuracy is sufficient for pilot phase.</t>
  </si>
  <si>
    <t>Decision 3: No SAP integration</t>
  </si>
  <si>
    <t>CHOSE: One-click Excel export instead of SAP API.  WHY: SAP integration is a 3-month project by itself. Excel bridges the gap perfectly. Klaus admits he doesn't trust SAP data anyway. TRADE-OFF: Manual step for Klaus. RESULT: Ship in 3 months instead of 6.</t>
  </si>
  <si>
    <t>Decision 4: Web app vs native</t>
  </si>
  <si>
    <t>CHOSE: Responsive web application.  WHY: One codebase (vs three: iOS, Android, Web), instant updates, no app store delays. Works on any tablet or laptop. TRADE-OFF: Slightly worse mobile UX than native. RESULT: Same value delivered 3 months faster.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</si>
</sst>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41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i/>
      <sz val="10"/>
      <color rgb="FF1B4F8A"/>
      <name val="Arial"/>
      <charset val="134"/>
    </font>
    <font>
      <b/>
      <sz val="11"/>
      <color rgb="FFFFFFFF"/>
      <name val="Arial"/>
      <charset val="134"/>
    </font>
    <font>
      <b/>
      <sz val="10"/>
      <color rgb="FF1B4F8A"/>
      <name val="Arial"/>
      <charset val="134"/>
    </font>
    <font>
      <sz val="10"/>
      <color rgb="FF2C3E50"/>
      <name val="Arial"/>
      <charset val="134"/>
    </font>
    <font>
      <sz val="10"/>
      <color rgb="FF566573"/>
      <name val="Arial"/>
      <charset val="134"/>
    </font>
    <font>
      <b/>
      <sz val="10"/>
      <color rgb="FFFFFFFF"/>
      <name val="Arial"/>
      <charset val="134"/>
    </font>
    <font>
      <sz val="8"/>
      <color rgb="FF1B4F8A"/>
      <name val="Arial"/>
      <charset val="134"/>
    </font>
    <font>
      <sz val="10"/>
      <color rgb="FF0000FF"/>
      <name val="Arial"/>
      <charset val="134"/>
    </font>
    <font>
      <b/>
      <sz val="11"/>
      <color rgb="FF1E8449"/>
      <name val="Arial"/>
      <charset val="134"/>
    </font>
    <font>
      <b/>
      <sz val="9"/>
      <color rgb="FF1E8449"/>
      <name val="Arial"/>
      <charset val="134"/>
    </font>
    <font>
      <b/>
      <sz val="9"/>
      <color rgb="FF1B4F8A"/>
      <name val="Arial"/>
      <charset val="134"/>
    </font>
    <font>
      <b/>
      <sz val="9"/>
      <color rgb="FF566573"/>
      <name val="Arial"/>
      <charset val="134"/>
    </font>
    <font>
      <b/>
      <sz val="11"/>
      <color rgb="FFD35400"/>
      <name val="Arial"/>
      <charset val="134"/>
    </font>
    <font>
      <b/>
      <sz val="9"/>
      <color rgb="FFC0392B"/>
      <name val="Arial"/>
      <charset val="134"/>
    </font>
    <font>
      <b/>
      <sz val="11"/>
      <color rgb="FFC0392B"/>
      <name val="Arial"/>
      <charset val="134"/>
    </font>
    <font>
      <i/>
      <sz val="9"/>
      <color rgb="FF1B4F8A"/>
      <name val="Arial"/>
      <charset val="134"/>
    </font>
    <font>
      <b/>
      <sz val="10"/>
      <color rgb="FF1E8449"/>
      <name val="Arial"/>
      <charset val="134"/>
    </font>
    <font>
      <i/>
      <sz val="9"/>
      <color rgb="FF2C3E50"/>
      <name val="Arial"/>
      <charset val="134"/>
    </font>
    <font>
      <b/>
      <sz val="10"/>
      <color rgb="FF566573"/>
      <name val="Arial"/>
      <charset val="134"/>
    </font>
    <font>
      <b/>
      <sz val="10"/>
      <color rgb="FFD354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B4F8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5" applyNumberFormat="0" applyAlignment="0" applyProtection="0">
      <alignment vertical="center"/>
    </xf>
    <xf numFmtId="0" fontId="31" fillId="14" borderId="6" applyNumberFormat="0" applyAlignment="0" applyProtection="0">
      <alignment vertical="center"/>
    </xf>
    <xf numFmtId="0" fontId="32" fillId="14" borderId="5" applyNumberFormat="0" applyAlignment="0" applyProtection="0">
      <alignment vertical="center"/>
    </xf>
    <xf numFmtId="0" fontId="33" fillId="15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178" fontId="9" fillId="7" borderId="1" xfId="0" applyNumberFormat="1" applyFont="1" applyFill="1" applyBorder="1" applyAlignment="1">
      <alignment horizontal="center" vertical="center" wrapText="1"/>
    </xf>
    <xf numFmtId="178" fontId="10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178" fontId="9" fillId="4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8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178" fontId="16" fillId="11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workbookViewId="0">
      <selection activeCell="A1" sqref="A1:G1"/>
    </sheetView>
  </sheetViews>
  <sheetFormatPr defaultColWidth="9" defaultRowHeight="14.4" outlineLevelCol="6"/>
  <cols>
    <col min="1" max="1" width="7" customWidth="1"/>
    <col min="2" max="2" width="28" customWidth="1"/>
    <col min="3" max="3" width="42" customWidth="1"/>
    <col min="4" max="4" width="22" customWidth="1"/>
    <col min="5" max="5" width="18" customWidth="1"/>
    <col min="6" max="6" width="16" customWidth="1"/>
    <col min="7" max="7" width="30" customWidth="1"/>
  </cols>
  <sheetData>
    <row r="1" ht="35" customHeight="1" spans="1:1">
      <c r="A1" s="1" t="s">
        <v>0</v>
      </c>
    </row>
    <row r="2" ht="22" customHeight="1" spans="1:1">
      <c r="A2" s="2" t="s">
        <v>1</v>
      </c>
    </row>
    <row r="3" ht="45" customHeight="1" spans="1:7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ht="40" customHeight="1" spans="1:7">
      <c r="A4" s="8" t="s">
        <v>9</v>
      </c>
      <c r="B4" s="31" t="s">
        <v>10</v>
      </c>
      <c r="C4" s="31" t="s">
        <v>11</v>
      </c>
      <c r="D4" s="31" t="s">
        <v>12</v>
      </c>
      <c r="E4" s="32" t="s">
        <v>13</v>
      </c>
      <c r="F4" s="33" t="s">
        <v>14</v>
      </c>
      <c r="G4" s="31" t="s">
        <v>15</v>
      </c>
    </row>
    <row r="5" ht="40" customHeight="1" spans="1:7">
      <c r="A5" s="8" t="s">
        <v>16</v>
      </c>
      <c r="B5" s="31" t="s">
        <v>17</v>
      </c>
      <c r="C5" s="31" t="s">
        <v>18</v>
      </c>
      <c r="D5" s="31" t="s">
        <v>19</v>
      </c>
      <c r="E5" s="32" t="s">
        <v>13</v>
      </c>
      <c r="F5" s="33" t="s">
        <v>14</v>
      </c>
      <c r="G5" s="31" t="s">
        <v>20</v>
      </c>
    </row>
    <row r="6" ht="40" customHeight="1" spans="1:7">
      <c r="A6" s="8" t="s">
        <v>21</v>
      </c>
      <c r="B6" s="31" t="s">
        <v>22</v>
      </c>
      <c r="C6" s="31" t="s">
        <v>23</v>
      </c>
      <c r="D6" s="31" t="s">
        <v>24</v>
      </c>
      <c r="E6" s="32" t="s">
        <v>13</v>
      </c>
      <c r="F6" s="33" t="s">
        <v>14</v>
      </c>
      <c r="G6" s="31" t="s">
        <v>25</v>
      </c>
    </row>
    <row r="7" ht="40" customHeight="1" spans="1:7">
      <c r="A7" s="8" t="s">
        <v>26</v>
      </c>
      <c r="B7" s="31" t="s">
        <v>27</v>
      </c>
      <c r="C7" s="31" t="s">
        <v>28</v>
      </c>
      <c r="D7" s="31" t="s">
        <v>29</v>
      </c>
      <c r="E7" s="32" t="s">
        <v>13</v>
      </c>
      <c r="F7" s="33" t="s">
        <v>14</v>
      </c>
      <c r="G7" s="31" t="s">
        <v>30</v>
      </c>
    </row>
    <row r="8" ht="40" customHeight="1" spans="1:7">
      <c r="A8" s="8" t="s">
        <v>31</v>
      </c>
      <c r="B8" s="31" t="s">
        <v>32</v>
      </c>
      <c r="C8" s="31" t="s">
        <v>33</v>
      </c>
      <c r="D8" s="31" t="s">
        <v>12</v>
      </c>
      <c r="E8" s="32" t="s">
        <v>13</v>
      </c>
      <c r="F8" s="33" t="s">
        <v>14</v>
      </c>
      <c r="G8" s="31" t="s">
        <v>34</v>
      </c>
    </row>
    <row r="9" ht="40" customHeight="1" spans="1:7">
      <c r="A9" s="8" t="s">
        <v>35</v>
      </c>
      <c r="B9" s="34" t="s">
        <v>36</v>
      </c>
      <c r="C9" s="34" t="s">
        <v>37</v>
      </c>
      <c r="D9" s="34" t="s">
        <v>38</v>
      </c>
      <c r="E9" s="30" t="s">
        <v>39</v>
      </c>
      <c r="F9" s="35" t="s">
        <v>40</v>
      </c>
      <c r="G9" s="34" t="s">
        <v>41</v>
      </c>
    </row>
    <row r="10" ht="40" customHeight="1" spans="1:7">
      <c r="A10" s="8" t="s">
        <v>42</v>
      </c>
      <c r="B10" s="31" t="s">
        <v>43</v>
      </c>
      <c r="C10" s="31" t="s">
        <v>44</v>
      </c>
      <c r="D10" s="31" t="s">
        <v>45</v>
      </c>
      <c r="E10" s="32" t="s">
        <v>13</v>
      </c>
      <c r="F10" s="33" t="s">
        <v>14</v>
      </c>
      <c r="G10" s="31" t="s">
        <v>46</v>
      </c>
    </row>
    <row r="11" ht="40" customHeight="1" spans="1:7">
      <c r="A11" s="8" t="s">
        <v>47</v>
      </c>
      <c r="B11" s="34" t="s">
        <v>48</v>
      </c>
      <c r="C11" s="34" t="s">
        <v>49</v>
      </c>
      <c r="D11" s="34" t="s">
        <v>29</v>
      </c>
      <c r="E11" s="30" t="s">
        <v>39</v>
      </c>
      <c r="F11" s="35" t="s">
        <v>40</v>
      </c>
      <c r="G11" s="34" t="s">
        <v>50</v>
      </c>
    </row>
    <row r="12" ht="40" customHeight="1" spans="1:7">
      <c r="A12" s="8" t="s">
        <v>51</v>
      </c>
      <c r="B12" s="34" t="s">
        <v>52</v>
      </c>
      <c r="C12" s="34" t="s">
        <v>53</v>
      </c>
      <c r="D12" s="34" t="s">
        <v>38</v>
      </c>
      <c r="E12" s="30" t="s">
        <v>39</v>
      </c>
      <c r="F12" s="35" t="s">
        <v>54</v>
      </c>
      <c r="G12" s="34" t="s">
        <v>55</v>
      </c>
    </row>
    <row r="13" ht="40" customHeight="1" spans="1:7">
      <c r="A13" s="8" t="s">
        <v>56</v>
      </c>
      <c r="B13" s="34" t="s">
        <v>57</v>
      </c>
      <c r="C13" s="34" t="s">
        <v>58</v>
      </c>
      <c r="D13" s="34" t="s">
        <v>59</v>
      </c>
      <c r="E13" s="30" t="s">
        <v>39</v>
      </c>
      <c r="F13" s="35" t="s">
        <v>54</v>
      </c>
      <c r="G13" s="34" t="s">
        <v>60</v>
      </c>
    </row>
    <row r="14" ht="40" customHeight="1" spans="1:7">
      <c r="A14" s="8" t="s">
        <v>61</v>
      </c>
      <c r="B14" s="34" t="s">
        <v>62</v>
      </c>
      <c r="C14" s="34" t="s">
        <v>63</v>
      </c>
      <c r="D14" s="34" t="s">
        <v>29</v>
      </c>
      <c r="E14" s="30" t="s">
        <v>39</v>
      </c>
      <c r="F14" s="35" t="s">
        <v>54</v>
      </c>
      <c r="G14" s="34" t="s">
        <v>64</v>
      </c>
    </row>
    <row r="15" ht="40" customHeight="1" spans="1:7">
      <c r="A15" s="8" t="s">
        <v>65</v>
      </c>
      <c r="B15" s="34" t="s">
        <v>66</v>
      </c>
      <c r="C15" s="34" t="s">
        <v>67</v>
      </c>
      <c r="D15" s="34" t="s">
        <v>38</v>
      </c>
      <c r="E15" s="30" t="s">
        <v>39</v>
      </c>
      <c r="F15" s="35" t="s">
        <v>40</v>
      </c>
      <c r="G15" s="34" t="s">
        <v>68</v>
      </c>
    </row>
    <row r="16" ht="40" customHeight="1" spans="1:7">
      <c r="A16" s="8" t="s">
        <v>69</v>
      </c>
      <c r="B16" s="34" t="s">
        <v>70</v>
      </c>
      <c r="C16" s="34" t="s">
        <v>71</v>
      </c>
      <c r="D16" s="34" t="s">
        <v>59</v>
      </c>
      <c r="E16" s="30" t="s">
        <v>39</v>
      </c>
      <c r="F16" s="35" t="s">
        <v>40</v>
      </c>
      <c r="G16" s="34" t="s">
        <v>72</v>
      </c>
    </row>
    <row r="17" ht="40" customHeight="1" spans="1:7">
      <c r="A17" s="8" t="s">
        <v>73</v>
      </c>
      <c r="B17" s="34" t="s">
        <v>74</v>
      </c>
      <c r="C17" s="34" t="s">
        <v>75</v>
      </c>
      <c r="D17" s="34" t="s">
        <v>29</v>
      </c>
      <c r="E17" s="30" t="s">
        <v>39</v>
      </c>
      <c r="F17" s="35" t="s">
        <v>54</v>
      </c>
      <c r="G17" s="34" t="s">
        <v>76</v>
      </c>
    </row>
    <row r="18" ht="40" customHeight="1" spans="1:7">
      <c r="A18" s="8" t="s">
        <v>77</v>
      </c>
      <c r="B18" s="36" t="s">
        <v>78</v>
      </c>
      <c r="C18" s="36" t="s">
        <v>79</v>
      </c>
      <c r="D18" s="36" t="s">
        <v>29</v>
      </c>
      <c r="E18" s="37" t="s">
        <v>80</v>
      </c>
      <c r="F18" s="38" t="s">
        <v>81</v>
      </c>
      <c r="G18" s="36" t="s">
        <v>82</v>
      </c>
    </row>
    <row r="19" ht="40" customHeight="1" spans="1:7">
      <c r="A19" s="8" t="s">
        <v>83</v>
      </c>
      <c r="B19" s="31" t="s">
        <v>84</v>
      </c>
      <c r="C19" s="31" t="s">
        <v>85</v>
      </c>
      <c r="D19" s="31" t="s">
        <v>86</v>
      </c>
      <c r="E19" s="32" t="s">
        <v>13</v>
      </c>
      <c r="F19" s="33" t="s">
        <v>14</v>
      </c>
      <c r="G19" s="31" t="s">
        <v>87</v>
      </c>
    </row>
    <row r="20" ht="40" customHeight="1" spans="1:7">
      <c r="A20" s="8" t="s">
        <v>88</v>
      </c>
      <c r="B20" s="31" t="s">
        <v>89</v>
      </c>
      <c r="C20" s="31" t="s">
        <v>90</v>
      </c>
      <c r="D20" s="31" t="s">
        <v>86</v>
      </c>
      <c r="E20" s="32" t="s">
        <v>13</v>
      </c>
      <c r="F20" s="33" t="s">
        <v>14</v>
      </c>
      <c r="G20" s="31" t="s">
        <v>91</v>
      </c>
    </row>
    <row r="21" ht="40" customHeight="1" spans="1:7">
      <c r="A21" s="8" t="s">
        <v>92</v>
      </c>
      <c r="B21" s="31" t="s">
        <v>93</v>
      </c>
      <c r="C21" s="31" t="s">
        <v>94</v>
      </c>
      <c r="D21" s="31" t="s">
        <v>38</v>
      </c>
      <c r="E21" s="32" t="s">
        <v>13</v>
      </c>
      <c r="F21" s="33" t="s">
        <v>14</v>
      </c>
      <c r="G21" s="31" t="s">
        <v>95</v>
      </c>
    </row>
    <row r="22" ht="40" customHeight="1" spans="1:7">
      <c r="A22" s="8" t="s">
        <v>96</v>
      </c>
      <c r="B22" s="36" t="s">
        <v>97</v>
      </c>
      <c r="C22" s="36" t="s">
        <v>98</v>
      </c>
      <c r="D22" s="36" t="s">
        <v>38</v>
      </c>
      <c r="E22" s="37" t="s">
        <v>80</v>
      </c>
      <c r="F22" s="38" t="s">
        <v>81</v>
      </c>
      <c r="G22" s="36" t="s">
        <v>99</v>
      </c>
    </row>
    <row r="23" ht="40" customHeight="1" spans="1:7">
      <c r="A23" s="8" t="s">
        <v>100</v>
      </c>
      <c r="B23" s="36" t="s">
        <v>101</v>
      </c>
      <c r="C23" s="36" t="s">
        <v>102</v>
      </c>
      <c r="D23" s="36" t="s">
        <v>38</v>
      </c>
      <c r="E23" s="37" t="s">
        <v>80</v>
      </c>
      <c r="F23" s="38" t="s">
        <v>81</v>
      </c>
      <c r="G23" s="36" t="s">
        <v>103</v>
      </c>
    </row>
    <row r="24" ht="40" customHeight="1" spans="1:7">
      <c r="A24" s="8" t="s">
        <v>104</v>
      </c>
      <c r="B24" s="34" t="s">
        <v>105</v>
      </c>
      <c r="C24" s="34" t="s">
        <v>106</v>
      </c>
      <c r="D24" s="34" t="s">
        <v>29</v>
      </c>
      <c r="E24" s="30" t="s">
        <v>39</v>
      </c>
      <c r="F24" s="35" t="s">
        <v>40</v>
      </c>
      <c r="G24" s="34" t="s">
        <v>107</v>
      </c>
    </row>
    <row r="25" ht="40" customHeight="1" spans="1:7">
      <c r="A25" s="8" t="s">
        <v>108</v>
      </c>
      <c r="B25" s="34" t="s">
        <v>109</v>
      </c>
      <c r="C25" s="34" t="s">
        <v>110</v>
      </c>
      <c r="D25" s="34" t="s">
        <v>38</v>
      </c>
      <c r="E25" s="30" t="s">
        <v>39</v>
      </c>
      <c r="F25" s="35" t="s">
        <v>54</v>
      </c>
      <c r="G25" s="34" t="s">
        <v>111</v>
      </c>
    </row>
    <row r="26" ht="40" customHeight="1" spans="1:7">
      <c r="A26" s="8" t="s">
        <v>112</v>
      </c>
      <c r="B26" s="34" t="s">
        <v>113</v>
      </c>
      <c r="C26" s="34" t="s">
        <v>114</v>
      </c>
      <c r="D26" s="34" t="s">
        <v>59</v>
      </c>
      <c r="E26" s="30" t="s">
        <v>39</v>
      </c>
      <c r="F26" s="35" t="s">
        <v>40</v>
      </c>
      <c r="G26" s="34" t="s">
        <v>115</v>
      </c>
    </row>
    <row r="27" ht="40" customHeight="1" spans="1:7">
      <c r="A27" s="8" t="s">
        <v>116</v>
      </c>
      <c r="B27" s="34" t="s">
        <v>117</v>
      </c>
      <c r="C27" s="34" t="s">
        <v>118</v>
      </c>
      <c r="D27" s="34" t="s">
        <v>38</v>
      </c>
      <c r="E27" s="30" t="s">
        <v>39</v>
      </c>
      <c r="F27" s="35" t="s">
        <v>54</v>
      </c>
      <c r="G27" s="34" t="s">
        <v>119</v>
      </c>
    </row>
    <row r="28" ht="40" customHeight="1" spans="1:7">
      <c r="A28" s="8" t="s">
        <v>120</v>
      </c>
      <c r="B28" s="36" t="s">
        <v>121</v>
      </c>
      <c r="C28" s="39" t="s">
        <v>122</v>
      </c>
      <c r="D28" s="36" t="s">
        <v>59</v>
      </c>
      <c r="E28" s="37" t="s">
        <v>80</v>
      </c>
      <c r="F28" s="38" t="s">
        <v>81</v>
      </c>
      <c r="G28" s="36" t="s">
        <v>123</v>
      </c>
    </row>
    <row r="29" ht="40" customHeight="1" spans="1:7">
      <c r="A29" s="8" t="s">
        <v>124</v>
      </c>
      <c r="B29" s="34" t="s">
        <v>125</v>
      </c>
      <c r="C29" s="34" t="s">
        <v>126</v>
      </c>
      <c r="D29" s="34" t="s">
        <v>29</v>
      </c>
      <c r="E29" s="30" t="s">
        <v>39</v>
      </c>
      <c r="F29" s="35" t="s">
        <v>40</v>
      </c>
      <c r="G29" s="34" t="s">
        <v>127</v>
      </c>
    </row>
    <row r="30" ht="40" customHeight="1" spans="1:7">
      <c r="A30" s="8" t="s">
        <v>128</v>
      </c>
      <c r="B30" s="31" t="s">
        <v>129</v>
      </c>
      <c r="C30" s="31" t="s">
        <v>130</v>
      </c>
      <c r="D30" s="31" t="s">
        <v>38</v>
      </c>
      <c r="E30" s="32" t="s">
        <v>13</v>
      </c>
      <c r="F30" s="33" t="s">
        <v>14</v>
      </c>
      <c r="G30" s="31" t="s">
        <v>131</v>
      </c>
    </row>
    <row r="31" ht="40" customHeight="1" spans="1:7">
      <c r="A31" s="8" t="s">
        <v>132</v>
      </c>
      <c r="B31" s="34" t="s">
        <v>133</v>
      </c>
      <c r="C31" s="34" t="s">
        <v>134</v>
      </c>
      <c r="D31" s="34" t="s">
        <v>38</v>
      </c>
      <c r="E31" s="30" t="s">
        <v>39</v>
      </c>
      <c r="F31" s="35" t="s">
        <v>40</v>
      </c>
      <c r="G31" s="34" t="s">
        <v>135</v>
      </c>
    </row>
    <row r="32" ht="40" customHeight="1" spans="1:7">
      <c r="A32" s="8" t="s">
        <v>136</v>
      </c>
      <c r="B32" s="34" t="s">
        <v>137</v>
      </c>
      <c r="C32" s="34" t="s">
        <v>138</v>
      </c>
      <c r="D32" s="34" t="s">
        <v>38</v>
      </c>
      <c r="E32" s="30" t="s">
        <v>39</v>
      </c>
      <c r="F32" s="35" t="s">
        <v>40</v>
      </c>
      <c r="G32" s="34" t="s">
        <v>139</v>
      </c>
    </row>
    <row r="33" ht="40" customHeight="1" spans="1:7">
      <c r="A33" s="8" t="s">
        <v>140</v>
      </c>
      <c r="B33" s="34" t="s">
        <v>141</v>
      </c>
      <c r="C33" s="34" t="s">
        <v>142</v>
      </c>
      <c r="D33" s="34" t="s">
        <v>59</v>
      </c>
      <c r="E33" s="30" t="s">
        <v>39</v>
      </c>
      <c r="F33" s="35" t="s">
        <v>54</v>
      </c>
      <c r="G33" s="34" t="s">
        <v>143</v>
      </c>
    </row>
    <row r="34" ht="40" customHeight="1" spans="1:7">
      <c r="A34" s="8" t="s">
        <v>144</v>
      </c>
      <c r="B34" s="34" t="s">
        <v>145</v>
      </c>
      <c r="C34" s="34" t="s">
        <v>146</v>
      </c>
      <c r="D34" s="34" t="s">
        <v>29</v>
      </c>
      <c r="E34" s="30" t="s">
        <v>39</v>
      </c>
      <c r="F34" s="35" t="s">
        <v>40</v>
      </c>
      <c r="G34" s="34" t="s">
        <v>147</v>
      </c>
    </row>
    <row r="35" ht="40" customHeight="1" spans="1:7">
      <c r="A35" s="8" t="s">
        <v>148</v>
      </c>
      <c r="B35" s="34" t="s">
        <v>149</v>
      </c>
      <c r="C35" s="34" t="s">
        <v>150</v>
      </c>
      <c r="D35" s="34" t="s">
        <v>38</v>
      </c>
      <c r="E35" s="30" t="s">
        <v>39</v>
      </c>
      <c r="F35" s="35" t="s">
        <v>54</v>
      </c>
      <c r="G35" s="34" t="s">
        <v>151</v>
      </c>
    </row>
    <row r="36" ht="40" customHeight="1" spans="1:7">
      <c r="A36" s="8" t="s">
        <v>152</v>
      </c>
      <c r="B36" s="36" t="s">
        <v>153</v>
      </c>
      <c r="C36" s="36" t="s">
        <v>154</v>
      </c>
      <c r="D36" s="36" t="s">
        <v>59</v>
      </c>
      <c r="E36" s="37" t="s">
        <v>80</v>
      </c>
      <c r="F36" s="38" t="s">
        <v>81</v>
      </c>
      <c r="G36" s="36" t="s">
        <v>155</v>
      </c>
    </row>
    <row r="37" ht="40" customHeight="1" spans="1:7">
      <c r="A37" s="8" t="s">
        <v>156</v>
      </c>
      <c r="B37" s="36" t="s">
        <v>157</v>
      </c>
      <c r="C37" s="36" t="s">
        <v>158</v>
      </c>
      <c r="D37" s="36" t="s">
        <v>38</v>
      </c>
      <c r="E37" s="37" t="s">
        <v>80</v>
      </c>
      <c r="F37" s="38" t="s">
        <v>81</v>
      </c>
      <c r="G37" s="36" t="s">
        <v>159</v>
      </c>
    </row>
    <row r="38" ht="40" customHeight="1" spans="1:7">
      <c r="A38" s="8" t="s">
        <v>160</v>
      </c>
      <c r="B38" s="36" t="s">
        <v>161</v>
      </c>
      <c r="C38" s="36" t="s">
        <v>162</v>
      </c>
      <c r="D38" s="36" t="s">
        <v>38</v>
      </c>
      <c r="E38" s="37" t="s">
        <v>80</v>
      </c>
      <c r="F38" s="38" t="s">
        <v>81</v>
      </c>
      <c r="G38" s="36" t="s">
        <v>163</v>
      </c>
    </row>
    <row r="39" ht="40" customHeight="1" spans="1:7">
      <c r="A39" s="8" t="s">
        <v>164</v>
      </c>
      <c r="B39" s="34" t="s">
        <v>165</v>
      </c>
      <c r="C39" s="34" t="s">
        <v>166</v>
      </c>
      <c r="D39" s="34" t="s">
        <v>59</v>
      </c>
      <c r="E39" s="30" t="s">
        <v>39</v>
      </c>
      <c r="F39" s="35" t="s">
        <v>54</v>
      </c>
      <c r="G39" s="34" t="s">
        <v>167</v>
      </c>
    </row>
    <row r="40" ht="40" customHeight="1" spans="1:7">
      <c r="A40" s="8" t="s">
        <v>168</v>
      </c>
      <c r="B40" s="34" t="s">
        <v>169</v>
      </c>
      <c r="C40" s="34" t="s">
        <v>170</v>
      </c>
      <c r="D40" s="34" t="s">
        <v>59</v>
      </c>
      <c r="E40" s="30" t="s">
        <v>39</v>
      </c>
      <c r="F40" s="35" t="s">
        <v>54</v>
      </c>
      <c r="G40" s="34" t="s">
        <v>171</v>
      </c>
    </row>
    <row r="41" ht="40" customHeight="1" spans="1:7">
      <c r="A41" s="8" t="s">
        <v>172</v>
      </c>
      <c r="B41" s="31" t="s">
        <v>173</v>
      </c>
      <c r="C41" s="31" t="s">
        <v>174</v>
      </c>
      <c r="D41" s="31" t="s">
        <v>38</v>
      </c>
      <c r="E41" s="32" t="s">
        <v>13</v>
      </c>
      <c r="F41" s="33" t="s">
        <v>14</v>
      </c>
      <c r="G41" s="31" t="s">
        <v>175</v>
      </c>
    </row>
    <row r="42" ht="40" customHeight="1" spans="1:7">
      <c r="A42" s="8" t="s">
        <v>176</v>
      </c>
      <c r="B42" s="36" t="s">
        <v>177</v>
      </c>
      <c r="C42" s="36" t="s">
        <v>178</v>
      </c>
      <c r="D42" s="36" t="s">
        <v>29</v>
      </c>
      <c r="E42" s="37" t="s">
        <v>80</v>
      </c>
      <c r="F42" s="38" t="s">
        <v>81</v>
      </c>
      <c r="G42" s="36" t="s">
        <v>179</v>
      </c>
    </row>
    <row r="43" ht="40" customHeight="1" spans="1:7">
      <c r="A43" s="8" t="s">
        <v>180</v>
      </c>
      <c r="B43" s="36" t="s">
        <v>181</v>
      </c>
      <c r="C43" s="36" t="s">
        <v>182</v>
      </c>
      <c r="D43" s="36" t="s">
        <v>29</v>
      </c>
      <c r="E43" s="37" t="s">
        <v>80</v>
      </c>
      <c r="F43" s="38" t="s">
        <v>81</v>
      </c>
      <c r="G43" s="36" t="s">
        <v>183</v>
      </c>
    </row>
    <row r="44" ht="40" customHeight="1" spans="1:7">
      <c r="A44" s="8" t="s">
        <v>184</v>
      </c>
      <c r="B44" s="34" t="s">
        <v>185</v>
      </c>
      <c r="C44" s="34" t="s">
        <v>186</v>
      </c>
      <c r="D44" s="34" t="s">
        <v>59</v>
      </c>
      <c r="E44" s="30" t="s">
        <v>39</v>
      </c>
      <c r="F44" s="35" t="s">
        <v>54</v>
      </c>
      <c r="G44" s="34" t="s">
        <v>187</v>
      </c>
    </row>
    <row r="45" ht="40" customHeight="1" spans="1:7">
      <c r="A45" s="8" t="s">
        <v>188</v>
      </c>
      <c r="B45" s="34" t="s">
        <v>189</v>
      </c>
      <c r="C45" s="34" t="s">
        <v>190</v>
      </c>
      <c r="D45" s="34" t="s">
        <v>29</v>
      </c>
      <c r="E45" s="30" t="s">
        <v>39</v>
      </c>
      <c r="F45" s="35" t="s">
        <v>54</v>
      </c>
      <c r="G45" s="34" t="s">
        <v>191</v>
      </c>
    </row>
    <row r="46" ht="40" customHeight="1" spans="1:7">
      <c r="A46" s="8" t="s">
        <v>192</v>
      </c>
      <c r="B46" s="34" t="s">
        <v>193</v>
      </c>
      <c r="C46" s="34" t="s">
        <v>194</v>
      </c>
      <c r="D46" s="34" t="s">
        <v>86</v>
      </c>
      <c r="E46" s="30" t="s">
        <v>39</v>
      </c>
      <c r="F46" s="35" t="s">
        <v>40</v>
      </c>
      <c r="G46" s="34" t="s">
        <v>195</v>
      </c>
    </row>
    <row r="47" ht="40" customHeight="1" spans="1:7">
      <c r="A47" s="8" t="s">
        <v>196</v>
      </c>
      <c r="B47" s="34" t="s">
        <v>197</v>
      </c>
      <c r="C47" s="34" t="s">
        <v>198</v>
      </c>
      <c r="D47" s="34" t="s">
        <v>29</v>
      </c>
      <c r="E47" s="30" t="s">
        <v>39</v>
      </c>
      <c r="F47" s="35" t="s">
        <v>40</v>
      </c>
      <c r="G47" s="34" t="s">
        <v>199</v>
      </c>
    </row>
    <row r="48" ht="40" customHeight="1" spans="1:7">
      <c r="A48" s="8" t="s">
        <v>200</v>
      </c>
      <c r="B48" s="36" t="s">
        <v>201</v>
      </c>
      <c r="C48" s="36" t="s">
        <v>202</v>
      </c>
      <c r="D48" s="36" t="s">
        <v>59</v>
      </c>
      <c r="E48" s="37" t="s">
        <v>80</v>
      </c>
      <c r="F48" s="38" t="s">
        <v>81</v>
      </c>
      <c r="G48" s="36" t="s">
        <v>203</v>
      </c>
    </row>
    <row r="49" ht="40" customHeight="1" spans="1:7">
      <c r="A49" s="8" t="s">
        <v>204</v>
      </c>
      <c r="B49" s="36" t="s">
        <v>205</v>
      </c>
      <c r="C49" s="36" t="s">
        <v>206</v>
      </c>
      <c r="D49" s="36" t="s">
        <v>59</v>
      </c>
      <c r="E49" s="37" t="s">
        <v>80</v>
      </c>
      <c r="F49" s="38" t="s">
        <v>81</v>
      </c>
      <c r="G49" s="36" t="s">
        <v>207</v>
      </c>
    </row>
    <row r="50" ht="40" customHeight="1" spans="1:7">
      <c r="A50" s="8" t="s">
        <v>208</v>
      </c>
      <c r="B50" s="36" t="s">
        <v>209</v>
      </c>
      <c r="C50" s="36" t="s">
        <v>210</v>
      </c>
      <c r="D50" s="36" t="s">
        <v>86</v>
      </c>
      <c r="E50" s="37" t="s">
        <v>80</v>
      </c>
      <c r="F50" s="38" t="s">
        <v>81</v>
      </c>
      <c r="G50" s="36" t="s">
        <v>211</v>
      </c>
    </row>
    <row r="51" ht="40" customHeight="1" spans="1:7">
      <c r="A51" s="8" t="s">
        <v>212</v>
      </c>
      <c r="B51" s="36" t="s">
        <v>213</v>
      </c>
      <c r="C51" s="36" t="s">
        <v>214</v>
      </c>
      <c r="D51" s="36" t="s">
        <v>29</v>
      </c>
      <c r="E51" s="37" t="s">
        <v>80</v>
      </c>
      <c r="F51" s="38" t="s">
        <v>81</v>
      </c>
      <c r="G51" s="36" t="s">
        <v>215</v>
      </c>
    </row>
    <row r="52" ht="40" customHeight="1" spans="1:7">
      <c r="A52" s="8" t="s">
        <v>216</v>
      </c>
      <c r="B52" s="36" t="s">
        <v>217</v>
      </c>
      <c r="C52" s="36" t="s">
        <v>218</v>
      </c>
      <c r="D52" s="36" t="s">
        <v>29</v>
      </c>
      <c r="E52" s="37" t="s">
        <v>80</v>
      </c>
      <c r="F52" s="38" t="s">
        <v>81</v>
      </c>
      <c r="G52" s="36" t="s">
        <v>219</v>
      </c>
    </row>
    <row r="53" ht="40" customHeight="1" spans="1:7">
      <c r="A53" s="8" t="s">
        <v>220</v>
      </c>
      <c r="B53" s="34" t="s">
        <v>221</v>
      </c>
      <c r="C53" s="34" t="s">
        <v>222</v>
      </c>
      <c r="D53" s="34" t="s">
        <v>59</v>
      </c>
      <c r="E53" s="30" t="s">
        <v>39</v>
      </c>
      <c r="F53" s="35" t="s">
        <v>40</v>
      </c>
      <c r="G53" s="34" t="s">
        <v>223</v>
      </c>
    </row>
    <row r="55" spans="1:1">
      <c r="A55" s="26" t="s">
        <v>224</v>
      </c>
    </row>
  </sheetData>
  <mergeCells count="3">
    <mergeCell ref="A1:G1"/>
    <mergeCell ref="A2:G2"/>
    <mergeCell ref="A55:G5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workbookViewId="0">
      <selection activeCell="A1" sqref="A1:J1"/>
    </sheetView>
  </sheetViews>
  <sheetFormatPr defaultColWidth="9" defaultRowHeight="14.4"/>
  <cols>
    <col min="1" max="1" width="8" customWidth="1"/>
    <col min="2" max="2" width="30" customWidth="1"/>
    <col min="3" max="4" width="10" customWidth="1"/>
    <col min="5" max="5" width="14" customWidth="1"/>
    <col min="6" max="7" width="12" customWidth="1"/>
    <col min="8" max="8" width="16" customWidth="1"/>
    <col min="9" max="9" width="10" customWidth="1"/>
    <col min="10" max="10" width="38" customWidth="1"/>
  </cols>
  <sheetData>
    <row r="1" ht="35" customHeight="1" spans="1:1">
      <c r="A1" s="1" t="s">
        <v>225</v>
      </c>
    </row>
    <row r="2" ht="22" customHeight="1" spans="1:1">
      <c r="A2" s="2" t="s">
        <v>226</v>
      </c>
    </row>
    <row r="3" ht="50" customHeight="1" spans="1:10">
      <c r="A3" s="8" t="s">
        <v>227</v>
      </c>
      <c r="C3" s="9" t="s">
        <v>228</v>
      </c>
      <c r="D3" s="9" t="s">
        <v>229</v>
      </c>
      <c r="E3" s="9" t="s">
        <v>230</v>
      </c>
      <c r="F3" s="9" t="s">
        <v>231</v>
      </c>
      <c r="G3" s="10" t="s">
        <v>232</v>
      </c>
      <c r="H3" s="8" t="s">
        <v>233</v>
      </c>
      <c r="I3" s="8" t="s">
        <v>234</v>
      </c>
      <c r="J3" s="8" t="s">
        <v>235</v>
      </c>
    </row>
    <row r="4" ht="55" customHeight="1"/>
    <row r="5" ht="30" customHeight="1" spans="1:10">
      <c r="A5" s="8">
        <v>1</v>
      </c>
      <c r="B5" s="11" t="s">
        <v>236</v>
      </c>
      <c r="C5" s="12">
        <v>9</v>
      </c>
      <c r="D5" s="12">
        <v>3</v>
      </c>
      <c r="E5" s="13">
        <v>1</v>
      </c>
      <c r="F5" s="14">
        <v>0.5</v>
      </c>
      <c r="G5" s="15">
        <f t="shared" ref="G5:G54" si="0">(C5*D5*E5)/F5</f>
        <v>54</v>
      </c>
      <c r="H5" s="16" t="s">
        <v>237</v>
      </c>
      <c r="I5" s="27" t="s">
        <v>238</v>
      </c>
      <c r="J5" s="28" t="s">
        <v>239</v>
      </c>
    </row>
    <row r="6" ht="30" customHeight="1" spans="1:10">
      <c r="A6" s="8">
        <v>2</v>
      </c>
      <c r="B6" s="17" t="s">
        <v>240</v>
      </c>
      <c r="C6" s="18">
        <v>9</v>
      </c>
      <c r="D6" s="18">
        <v>3</v>
      </c>
      <c r="E6" s="19">
        <v>1</v>
      </c>
      <c r="F6" s="20">
        <v>0.5</v>
      </c>
      <c r="G6" s="15">
        <f t="shared" si="0"/>
        <v>54</v>
      </c>
      <c r="H6" s="16" t="s">
        <v>237</v>
      </c>
      <c r="I6" s="27" t="s">
        <v>238</v>
      </c>
      <c r="J6" s="29" t="s">
        <v>241</v>
      </c>
    </row>
    <row r="7" ht="30" customHeight="1" spans="1:10">
      <c r="A7" s="8">
        <v>3</v>
      </c>
      <c r="B7" s="11" t="s">
        <v>242</v>
      </c>
      <c r="C7" s="12">
        <v>10</v>
      </c>
      <c r="D7" s="12">
        <v>5</v>
      </c>
      <c r="E7" s="13">
        <v>1</v>
      </c>
      <c r="F7" s="14">
        <v>1</v>
      </c>
      <c r="G7" s="15">
        <f t="shared" si="0"/>
        <v>50</v>
      </c>
      <c r="H7" s="16" t="s">
        <v>237</v>
      </c>
      <c r="I7" s="27" t="s">
        <v>238</v>
      </c>
      <c r="J7" s="28" t="s">
        <v>243</v>
      </c>
    </row>
    <row r="8" ht="30" customHeight="1" spans="1:10">
      <c r="A8" s="8">
        <v>4</v>
      </c>
      <c r="B8" s="17" t="s">
        <v>244</v>
      </c>
      <c r="C8" s="18">
        <v>6</v>
      </c>
      <c r="D8" s="18">
        <v>4</v>
      </c>
      <c r="E8" s="19">
        <v>0.85</v>
      </c>
      <c r="F8" s="20">
        <v>0.5</v>
      </c>
      <c r="G8" s="15">
        <f t="shared" si="0"/>
        <v>40.8</v>
      </c>
      <c r="H8" s="21" t="s">
        <v>245</v>
      </c>
      <c r="I8" s="30" t="s">
        <v>246</v>
      </c>
      <c r="J8" s="29" t="s">
        <v>247</v>
      </c>
    </row>
    <row r="9" ht="30" customHeight="1" spans="1:10">
      <c r="A9" s="8">
        <v>5</v>
      </c>
      <c r="B9" s="11" t="s">
        <v>248</v>
      </c>
      <c r="C9" s="12">
        <v>6</v>
      </c>
      <c r="D9" s="12">
        <v>3</v>
      </c>
      <c r="E9" s="13">
        <v>0.95</v>
      </c>
      <c r="F9" s="14">
        <v>0.5</v>
      </c>
      <c r="G9" s="15">
        <f t="shared" si="0"/>
        <v>34.2</v>
      </c>
      <c r="H9" s="16" t="s">
        <v>237</v>
      </c>
      <c r="I9" s="27" t="s">
        <v>238</v>
      </c>
      <c r="J9" s="28" t="s">
        <v>249</v>
      </c>
    </row>
    <row r="10" ht="30" customHeight="1" spans="1:10">
      <c r="A10" s="8">
        <v>6</v>
      </c>
      <c r="B10" s="17" t="s">
        <v>250</v>
      </c>
      <c r="C10" s="18">
        <v>8</v>
      </c>
      <c r="D10" s="18">
        <v>4</v>
      </c>
      <c r="E10" s="19">
        <v>0.9</v>
      </c>
      <c r="F10" s="20">
        <v>1</v>
      </c>
      <c r="G10" s="15">
        <f t="shared" si="0"/>
        <v>28.8</v>
      </c>
      <c r="H10" s="16" t="s">
        <v>237</v>
      </c>
      <c r="I10" s="27" t="s">
        <v>238</v>
      </c>
      <c r="J10" s="29" t="s">
        <v>251</v>
      </c>
    </row>
    <row r="11" ht="30" customHeight="1" spans="1:10">
      <c r="A11" s="8">
        <v>7</v>
      </c>
      <c r="B11" s="11" t="s">
        <v>252</v>
      </c>
      <c r="C11" s="12">
        <v>6</v>
      </c>
      <c r="D11" s="12">
        <v>3</v>
      </c>
      <c r="E11" s="13">
        <v>0.8</v>
      </c>
      <c r="F11" s="14">
        <v>0.5</v>
      </c>
      <c r="G11" s="15">
        <f t="shared" si="0"/>
        <v>28.8</v>
      </c>
      <c r="H11" s="21" t="s">
        <v>245</v>
      </c>
      <c r="I11" s="30" t="s">
        <v>246</v>
      </c>
      <c r="J11" s="28" t="s">
        <v>253</v>
      </c>
    </row>
    <row r="12" ht="30" customHeight="1" spans="1:10">
      <c r="A12" s="8">
        <v>8</v>
      </c>
      <c r="B12" s="17" t="s">
        <v>254</v>
      </c>
      <c r="C12" s="18">
        <v>7</v>
      </c>
      <c r="D12" s="18">
        <v>2</v>
      </c>
      <c r="E12" s="19">
        <v>1</v>
      </c>
      <c r="F12" s="20">
        <v>0.5</v>
      </c>
      <c r="G12" s="15">
        <f t="shared" si="0"/>
        <v>28</v>
      </c>
      <c r="H12" s="16" t="s">
        <v>237</v>
      </c>
      <c r="I12" s="27" t="s">
        <v>238</v>
      </c>
      <c r="J12" s="29" t="s">
        <v>255</v>
      </c>
    </row>
    <row r="13" ht="30" customHeight="1" spans="1:10">
      <c r="A13" s="8">
        <v>9</v>
      </c>
      <c r="B13" s="11" t="s">
        <v>256</v>
      </c>
      <c r="C13" s="12">
        <v>10</v>
      </c>
      <c r="D13" s="12">
        <v>5</v>
      </c>
      <c r="E13" s="13">
        <v>0.9</v>
      </c>
      <c r="F13" s="14">
        <v>2</v>
      </c>
      <c r="G13" s="15">
        <f t="shared" si="0"/>
        <v>22.5</v>
      </c>
      <c r="H13" s="16" t="s">
        <v>237</v>
      </c>
      <c r="I13" s="27" t="s">
        <v>238</v>
      </c>
      <c r="J13" s="28" t="s">
        <v>257</v>
      </c>
    </row>
    <row r="14" ht="30" customHeight="1" spans="1:10">
      <c r="A14" s="8">
        <v>10</v>
      </c>
      <c r="B14" s="17" t="s">
        <v>258</v>
      </c>
      <c r="C14" s="18">
        <v>7</v>
      </c>
      <c r="D14" s="18">
        <v>4</v>
      </c>
      <c r="E14" s="19">
        <v>0.8</v>
      </c>
      <c r="F14" s="20">
        <v>1</v>
      </c>
      <c r="G14" s="15">
        <f t="shared" si="0"/>
        <v>22.4</v>
      </c>
      <c r="H14" s="16" t="s">
        <v>237</v>
      </c>
      <c r="I14" s="27" t="s">
        <v>238</v>
      </c>
      <c r="J14" s="29" t="s">
        <v>259</v>
      </c>
    </row>
    <row r="15" ht="30" customHeight="1" spans="1:10">
      <c r="A15" s="8">
        <v>11</v>
      </c>
      <c r="B15" s="11" t="s">
        <v>260</v>
      </c>
      <c r="C15" s="12">
        <v>10</v>
      </c>
      <c r="D15" s="12">
        <v>4</v>
      </c>
      <c r="E15" s="13">
        <v>0.95</v>
      </c>
      <c r="F15" s="14">
        <v>2</v>
      </c>
      <c r="G15" s="15">
        <f t="shared" si="0"/>
        <v>19</v>
      </c>
      <c r="H15" s="16" t="s">
        <v>237</v>
      </c>
      <c r="I15" s="27" t="s">
        <v>238</v>
      </c>
      <c r="J15" s="28" t="s">
        <v>261</v>
      </c>
    </row>
    <row r="16" ht="30" customHeight="1" spans="1:10">
      <c r="A16" s="8">
        <v>12</v>
      </c>
      <c r="B16" s="17" t="s">
        <v>262</v>
      </c>
      <c r="C16" s="18">
        <v>7</v>
      </c>
      <c r="D16" s="18">
        <v>3</v>
      </c>
      <c r="E16" s="19">
        <v>0.9</v>
      </c>
      <c r="F16" s="20">
        <v>1</v>
      </c>
      <c r="G16" s="15">
        <f t="shared" si="0"/>
        <v>18.9</v>
      </c>
      <c r="H16" s="16" t="s">
        <v>237</v>
      </c>
      <c r="I16" s="27" t="s">
        <v>238</v>
      </c>
      <c r="J16" s="29" t="s">
        <v>263</v>
      </c>
    </row>
    <row r="17" ht="30" customHeight="1" spans="1:10">
      <c r="A17" s="8">
        <v>13</v>
      </c>
      <c r="B17" s="11" t="s">
        <v>264</v>
      </c>
      <c r="C17" s="12">
        <v>9</v>
      </c>
      <c r="D17" s="12">
        <v>2</v>
      </c>
      <c r="E17" s="13">
        <v>1</v>
      </c>
      <c r="F17" s="14">
        <v>1</v>
      </c>
      <c r="G17" s="15">
        <f t="shared" si="0"/>
        <v>18</v>
      </c>
      <c r="H17" s="16" t="s">
        <v>237</v>
      </c>
      <c r="I17" s="27" t="s">
        <v>238</v>
      </c>
      <c r="J17" s="28" t="s">
        <v>265</v>
      </c>
    </row>
    <row r="18" ht="30" customHeight="1" spans="1:10">
      <c r="A18" s="8">
        <v>14</v>
      </c>
      <c r="B18" s="17" t="s">
        <v>266</v>
      </c>
      <c r="C18" s="18">
        <v>7</v>
      </c>
      <c r="D18" s="18">
        <v>3</v>
      </c>
      <c r="E18" s="19">
        <v>0.85</v>
      </c>
      <c r="F18" s="20">
        <v>1</v>
      </c>
      <c r="G18" s="15">
        <f t="shared" si="0"/>
        <v>17.85</v>
      </c>
      <c r="H18" s="21" t="s">
        <v>245</v>
      </c>
      <c r="I18" s="30" t="s">
        <v>246</v>
      </c>
      <c r="J18" s="29" t="s">
        <v>267</v>
      </c>
    </row>
    <row r="19" ht="30" customHeight="1" spans="1:10">
      <c r="A19" s="8">
        <v>15</v>
      </c>
      <c r="B19" s="11" t="s">
        <v>268</v>
      </c>
      <c r="C19" s="12">
        <v>8</v>
      </c>
      <c r="D19" s="12">
        <v>4</v>
      </c>
      <c r="E19" s="13">
        <v>0.8</v>
      </c>
      <c r="F19" s="14">
        <v>1.5</v>
      </c>
      <c r="G19" s="15">
        <f t="shared" si="0"/>
        <v>17.0666666666667</v>
      </c>
      <c r="H19" s="16" t="s">
        <v>237</v>
      </c>
      <c r="I19" s="27" t="s">
        <v>238</v>
      </c>
      <c r="J19" s="28" t="s">
        <v>269</v>
      </c>
    </row>
    <row r="20" ht="30" customHeight="1" spans="1:10">
      <c r="A20" s="8">
        <v>16</v>
      </c>
      <c r="B20" s="17" t="s">
        <v>270</v>
      </c>
      <c r="C20" s="18">
        <v>5</v>
      </c>
      <c r="D20" s="18">
        <v>2</v>
      </c>
      <c r="E20" s="19">
        <v>0.8</v>
      </c>
      <c r="F20" s="20">
        <v>0.5</v>
      </c>
      <c r="G20" s="15">
        <f t="shared" si="0"/>
        <v>16</v>
      </c>
      <c r="H20" s="22" t="s">
        <v>271</v>
      </c>
      <c r="I20" s="30" t="s">
        <v>246</v>
      </c>
      <c r="J20" s="29" t="s">
        <v>272</v>
      </c>
    </row>
    <row r="21" ht="30" customHeight="1" spans="1:10">
      <c r="A21" s="8">
        <v>17</v>
      </c>
      <c r="B21" s="11" t="s">
        <v>273</v>
      </c>
      <c r="C21" s="12">
        <v>6</v>
      </c>
      <c r="D21" s="12">
        <v>3</v>
      </c>
      <c r="E21" s="13">
        <v>0.85</v>
      </c>
      <c r="F21" s="14">
        <v>1</v>
      </c>
      <c r="G21" s="15">
        <f t="shared" si="0"/>
        <v>15.3</v>
      </c>
      <c r="H21" s="21" t="s">
        <v>245</v>
      </c>
      <c r="I21" s="30" t="s">
        <v>246</v>
      </c>
      <c r="J21" s="28" t="s">
        <v>274</v>
      </c>
    </row>
    <row r="22" ht="30" customHeight="1" spans="1:10">
      <c r="A22" s="8">
        <v>18</v>
      </c>
      <c r="B22" s="17" t="s">
        <v>275</v>
      </c>
      <c r="C22" s="18">
        <v>6</v>
      </c>
      <c r="D22" s="18">
        <v>3</v>
      </c>
      <c r="E22" s="19">
        <v>0.85</v>
      </c>
      <c r="F22" s="20">
        <v>1</v>
      </c>
      <c r="G22" s="15">
        <f t="shared" si="0"/>
        <v>15.3</v>
      </c>
      <c r="H22" s="22" t="s">
        <v>271</v>
      </c>
      <c r="I22" s="30" t="s">
        <v>246</v>
      </c>
      <c r="J22" s="29" t="s">
        <v>276</v>
      </c>
    </row>
    <row r="23" ht="30" customHeight="1" spans="1:10">
      <c r="A23" s="8">
        <v>19</v>
      </c>
      <c r="B23" s="11" t="s">
        <v>277</v>
      </c>
      <c r="C23" s="12">
        <v>7</v>
      </c>
      <c r="D23" s="12">
        <v>4</v>
      </c>
      <c r="E23" s="13">
        <v>0.8</v>
      </c>
      <c r="F23" s="14">
        <v>1.5</v>
      </c>
      <c r="G23" s="23">
        <f t="shared" si="0"/>
        <v>14.9333333333333</v>
      </c>
      <c r="H23" s="21" t="s">
        <v>245</v>
      </c>
      <c r="I23" s="30" t="s">
        <v>246</v>
      </c>
      <c r="J23" s="28" t="s">
        <v>278</v>
      </c>
    </row>
    <row r="24" ht="30" customHeight="1" spans="1:10">
      <c r="A24" s="8">
        <v>20</v>
      </c>
      <c r="B24" s="17" t="s">
        <v>279</v>
      </c>
      <c r="C24" s="18">
        <v>7</v>
      </c>
      <c r="D24" s="18">
        <v>4</v>
      </c>
      <c r="E24" s="19">
        <v>0.75</v>
      </c>
      <c r="F24" s="20">
        <v>1.5</v>
      </c>
      <c r="G24" s="23">
        <f t="shared" si="0"/>
        <v>14</v>
      </c>
      <c r="H24" s="21" t="s">
        <v>245</v>
      </c>
      <c r="I24" s="30" t="s">
        <v>246</v>
      </c>
      <c r="J24" s="29" t="s">
        <v>280</v>
      </c>
    </row>
    <row r="25" ht="30" customHeight="1" spans="1:10">
      <c r="A25" s="8">
        <v>21</v>
      </c>
      <c r="B25" s="11" t="s">
        <v>281</v>
      </c>
      <c r="C25" s="12">
        <v>5</v>
      </c>
      <c r="D25" s="12">
        <v>3</v>
      </c>
      <c r="E25" s="13">
        <v>0.9</v>
      </c>
      <c r="F25" s="14">
        <v>1</v>
      </c>
      <c r="G25" s="23">
        <f t="shared" si="0"/>
        <v>13.5</v>
      </c>
      <c r="H25" s="21" t="s">
        <v>245</v>
      </c>
      <c r="I25" s="30" t="s">
        <v>246</v>
      </c>
      <c r="J25" s="28" t="s">
        <v>282</v>
      </c>
    </row>
    <row r="26" ht="30" customHeight="1" spans="1:10">
      <c r="A26" s="8">
        <v>22</v>
      </c>
      <c r="B26" s="17" t="s">
        <v>283</v>
      </c>
      <c r="C26" s="18">
        <v>5</v>
      </c>
      <c r="D26" s="18">
        <v>4</v>
      </c>
      <c r="E26" s="19">
        <v>0.85</v>
      </c>
      <c r="F26" s="20">
        <v>1.5</v>
      </c>
      <c r="G26" s="23">
        <f t="shared" si="0"/>
        <v>11.3333333333333</v>
      </c>
      <c r="H26" s="21" t="s">
        <v>245</v>
      </c>
      <c r="I26" s="30" t="s">
        <v>246</v>
      </c>
      <c r="J26" s="29" t="s">
        <v>284</v>
      </c>
    </row>
    <row r="27" ht="30" customHeight="1" spans="1:10">
      <c r="A27" s="8">
        <v>23</v>
      </c>
      <c r="B27" s="11" t="s">
        <v>285</v>
      </c>
      <c r="C27" s="12">
        <v>6</v>
      </c>
      <c r="D27" s="12">
        <v>1</v>
      </c>
      <c r="E27" s="13">
        <v>0.9</v>
      </c>
      <c r="F27" s="14">
        <v>0.5</v>
      </c>
      <c r="G27" s="23">
        <f t="shared" si="0"/>
        <v>10.8</v>
      </c>
      <c r="H27" s="24" t="s">
        <v>286</v>
      </c>
      <c r="I27" s="30" t="s">
        <v>246</v>
      </c>
      <c r="J27" s="28" t="s">
        <v>287</v>
      </c>
    </row>
    <row r="28" ht="30" customHeight="1" spans="1:10">
      <c r="A28" s="8">
        <v>24</v>
      </c>
      <c r="B28" s="17" t="s">
        <v>288</v>
      </c>
      <c r="C28" s="18">
        <v>8</v>
      </c>
      <c r="D28" s="18">
        <v>3</v>
      </c>
      <c r="E28" s="19">
        <v>0.75</v>
      </c>
      <c r="F28" s="20">
        <v>2</v>
      </c>
      <c r="G28" s="23">
        <f t="shared" si="0"/>
        <v>9</v>
      </c>
      <c r="H28" s="21" t="s">
        <v>245</v>
      </c>
      <c r="I28" s="30" t="s">
        <v>246</v>
      </c>
      <c r="J28" s="29" t="s">
        <v>289</v>
      </c>
    </row>
    <row r="29" ht="30" customHeight="1" spans="1:10">
      <c r="A29" s="8">
        <v>25</v>
      </c>
      <c r="B29" s="11" t="s">
        <v>290</v>
      </c>
      <c r="C29" s="12">
        <v>5</v>
      </c>
      <c r="D29" s="12">
        <v>3</v>
      </c>
      <c r="E29" s="13">
        <v>0.75</v>
      </c>
      <c r="F29" s="14">
        <v>1.5</v>
      </c>
      <c r="G29" s="25">
        <f t="shared" si="0"/>
        <v>7.5</v>
      </c>
      <c r="H29" s="22" t="s">
        <v>271</v>
      </c>
      <c r="I29" s="30" t="s">
        <v>246</v>
      </c>
      <c r="J29" s="28" t="s">
        <v>291</v>
      </c>
    </row>
    <row r="30" ht="30" customHeight="1" spans="1:10">
      <c r="A30" s="8">
        <v>26</v>
      </c>
      <c r="B30" s="17" t="s">
        <v>292</v>
      </c>
      <c r="C30" s="18">
        <v>5</v>
      </c>
      <c r="D30" s="18">
        <v>4</v>
      </c>
      <c r="E30" s="19">
        <v>0.7</v>
      </c>
      <c r="F30" s="20">
        <v>2</v>
      </c>
      <c r="G30" s="25">
        <f t="shared" si="0"/>
        <v>7</v>
      </c>
      <c r="H30" s="21" t="s">
        <v>245</v>
      </c>
      <c r="I30" s="30" t="s">
        <v>246</v>
      </c>
      <c r="J30" s="29" t="s">
        <v>293</v>
      </c>
    </row>
    <row r="31" ht="30" customHeight="1" spans="1:10">
      <c r="A31" s="8">
        <v>27</v>
      </c>
      <c r="B31" s="11" t="s">
        <v>294</v>
      </c>
      <c r="C31" s="12">
        <v>7</v>
      </c>
      <c r="D31" s="12">
        <v>3</v>
      </c>
      <c r="E31" s="13">
        <v>0.8</v>
      </c>
      <c r="F31" s="14">
        <v>2.5</v>
      </c>
      <c r="G31" s="25">
        <f t="shared" si="0"/>
        <v>6.72</v>
      </c>
      <c r="H31" s="22" t="s">
        <v>271</v>
      </c>
      <c r="I31" s="30" t="s">
        <v>246</v>
      </c>
      <c r="J31" s="28" t="s">
        <v>295</v>
      </c>
    </row>
    <row r="32" ht="30" customHeight="1" spans="1:10">
      <c r="A32" s="8">
        <v>28</v>
      </c>
      <c r="B32" s="17" t="s">
        <v>296</v>
      </c>
      <c r="C32" s="18">
        <v>6</v>
      </c>
      <c r="D32" s="18">
        <v>3</v>
      </c>
      <c r="E32" s="19">
        <v>0.7</v>
      </c>
      <c r="F32" s="20">
        <v>2</v>
      </c>
      <c r="G32" s="25">
        <f t="shared" si="0"/>
        <v>6.3</v>
      </c>
      <c r="H32" s="22" t="s">
        <v>271</v>
      </c>
      <c r="I32" s="30" t="s">
        <v>246</v>
      </c>
      <c r="J32" s="29" t="s">
        <v>297</v>
      </c>
    </row>
    <row r="33" ht="30" customHeight="1" spans="1:10">
      <c r="A33" s="8">
        <v>29</v>
      </c>
      <c r="B33" s="11" t="s">
        <v>298</v>
      </c>
      <c r="C33" s="12">
        <v>7</v>
      </c>
      <c r="D33" s="12">
        <v>4</v>
      </c>
      <c r="E33" s="13">
        <v>0.65</v>
      </c>
      <c r="F33" s="14">
        <v>3</v>
      </c>
      <c r="G33" s="25">
        <f t="shared" si="0"/>
        <v>6.06666666666667</v>
      </c>
      <c r="H33" s="22" t="s">
        <v>271</v>
      </c>
      <c r="I33" s="30" t="s">
        <v>246</v>
      </c>
      <c r="J33" s="28" t="s">
        <v>299</v>
      </c>
    </row>
    <row r="34" ht="30" customHeight="1" spans="1:10">
      <c r="A34" s="8">
        <v>30</v>
      </c>
      <c r="B34" s="17" t="s">
        <v>300</v>
      </c>
      <c r="C34" s="18">
        <v>4</v>
      </c>
      <c r="D34" s="18">
        <v>2</v>
      </c>
      <c r="E34" s="19">
        <v>0.75</v>
      </c>
      <c r="F34" s="20">
        <v>1</v>
      </c>
      <c r="G34" s="25">
        <f t="shared" si="0"/>
        <v>6</v>
      </c>
      <c r="H34" s="24" t="s">
        <v>286</v>
      </c>
      <c r="I34" s="30" t="s">
        <v>246</v>
      </c>
      <c r="J34" s="29" t="s">
        <v>301</v>
      </c>
    </row>
    <row r="35" ht="30" customHeight="1" spans="1:10">
      <c r="A35" s="8">
        <v>31</v>
      </c>
      <c r="B35" s="11" t="s">
        <v>302</v>
      </c>
      <c r="C35" s="12">
        <v>4</v>
      </c>
      <c r="D35" s="12">
        <v>2</v>
      </c>
      <c r="E35" s="13">
        <v>0.7</v>
      </c>
      <c r="F35" s="14">
        <v>1</v>
      </c>
      <c r="G35" s="25">
        <f t="shared" si="0"/>
        <v>5.6</v>
      </c>
      <c r="H35" s="24" t="s">
        <v>286</v>
      </c>
      <c r="I35" s="30" t="s">
        <v>246</v>
      </c>
      <c r="J35" s="28" t="s">
        <v>303</v>
      </c>
    </row>
    <row r="36" ht="30" customHeight="1" spans="1:10">
      <c r="A36" s="8">
        <v>32</v>
      </c>
      <c r="B36" s="17" t="s">
        <v>304</v>
      </c>
      <c r="C36" s="18">
        <v>6</v>
      </c>
      <c r="D36" s="18">
        <v>3</v>
      </c>
      <c r="E36" s="19">
        <v>0.7</v>
      </c>
      <c r="F36" s="20">
        <v>2.5</v>
      </c>
      <c r="G36" s="25">
        <f t="shared" si="0"/>
        <v>5.04</v>
      </c>
      <c r="H36" s="22" t="s">
        <v>271</v>
      </c>
      <c r="I36" s="30" t="s">
        <v>246</v>
      </c>
      <c r="J36" s="29" t="s">
        <v>305</v>
      </c>
    </row>
    <row r="37" ht="30" customHeight="1" spans="1:10">
      <c r="A37" s="8">
        <v>33</v>
      </c>
      <c r="B37" s="11" t="s">
        <v>306</v>
      </c>
      <c r="C37" s="12">
        <v>5</v>
      </c>
      <c r="D37" s="12">
        <v>3</v>
      </c>
      <c r="E37" s="13">
        <v>0.65</v>
      </c>
      <c r="F37" s="14">
        <v>2</v>
      </c>
      <c r="G37" s="25">
        <f t="shared" si="0"/>
        <v>4.875</v>
      </c>
      <c r="H37" s="22" t="s">
        <v>271</v>
      </c>
      <c r="I37" s="30" t="s">
        <v>246</v>
      </c>
      <c r="J37" s="28" t="s">
        <v>307</v>
      </c>
    </row>
    <row r="38" ht="30" customHeight="1" spans="1:10">
      <c r="A38" s="8">
        <v>34</v>
      </c>
      <c r="B38" s="17" t="s">
        <v>308</v>
      </c>
      <c r="C38" s="18">
        <v>5</v>
      </c>
      <c r="D38" s="18">
        <v>3</v>
      </c>
      <c r="E38" s="19">
        <v>0.65</v>
      </c>
      <c r="F38" s="20">
        <v>2</v>
      </c>
      <c r="G38" s="25">
        <f t="shared" si="0"/>
        <v>4.875</v>
      </c>
      <c r="H38" s="22" t="s">
        <v>271</v>
      </c>
      <c r="I38" s="30" t="s">
        <v>246</v>
      </c>
      <c r="J38" s="29" t="s">
        <v>309</v>
      </c>
    </row>
    <row r="39" ht="30" customHeight="1" spans="1:10">
      <c r="A39" s="8">
        <v>35</v>
      </c>
      <c r="B39" s="11" t="s">
        <v>310</v>
      </c>
      <c r="C39" s="12">
        <v>7</v>
      </c>
      <c r="D39" s="12">
        <v>4</v>
      </c>
      <c r="E39" s="13">
        <v>0.6</v>
      </c>
      <c r="F39" s="14">
        <v>4</v>
      </c>
      <c r="G39" s="25">
        <f t="shared" si="0"/>
        <v>4.2</v>
      </c>
      <c r="H39" s="22" t="s">
        <v>271</v>
      </c>
      <c r="I39" s="30" t="s">
        <v>246</v>
      </c>
      <c r="J39" s="28" t="s">
        <v>311</v>
      </c>
    </row>
    <row r="40" ht="30" customHeight="1" spans="1:10">
      <c r="A40" s="8">
        <v>36</v>
      </c>
      <c r="B40" s="17" t="s">
        <v>312</v>
      </c>
      <c r="C40" s="18">
        <v>5</v>
      </c>
      <c r="D40" s="18">
        <v>3</v>
      </c>
      <c r="E40" s="19">
        <v>0.6</v>
      </c>
      <c r="F40" s="20">
        <v>2.5</v>
      </c>
      <c r="G40" s="25">
        <f t="shared" si="0"/>
        <v>3.6</v>
      </c>
      <c r="H40" s="22" t="s">
        <v>271</v>
      </c>
      <c r="I40" s="30" t="s">
        <v>246</v>
      </c>
      <c r="J40" s="29" t="s">
        <v>313</v>
      </c>
    </row>
    <row r="41" ht="30" customHeight="1" spans="1:10">
      <c r="A41" s="8">
        <v>37</v>
      </c>
      <c r="B41" s="11" t="s">
        <v>314</v>
      </c>
      <c r="C41" s="12">
        <v>4</v>
      </c>
      <c r="D41" s="12">
        <v>3</v>
      </c>
      <c r="E41" s="13">
        <v>0.6</v>
      </c>
      <c r="F41" s="14">
        <v>2</v>
      </c>
      <c r="G41" s="25">
        <f t="shared" si="0"/>
        <v>3.6</v>
      </c>
      <c r="H41" s="22" t="s">
        <v>271</v>
      </c>
      <c r="I41" s="30" t="s">
        <v>246</v>
      </c>
      <c r="J41" s="28" t="s">
        <v>315</v>
      </c>
    </row>
    <row r="42" ht="30" customHeight="1" spans="1:10">
      <c r="A42" s="8">
        <v>38</v>
      </c>
      <c r="B42" s="17" t="s">
        <v>316</v>
      </c>
      <c r="C42" s="18">
        <v>4</v>
      </c>
      <c r="D42" s="18">
        <v>2</v>
      </c>
      <c r="E42" s="19">
        <v>0.6</v>
      </c>
      <c r="F42" s="20">
        <v>1.5</v>
      </c>
      <c r="G42" s="25">
        <f t="shared" si="0"/>
        <v>3.2</v>
      </c>
      <c r="H42" s="24" t="s">
        <v>286</v>
      </c>
      <c r="I42" s="30" t="s">
        <v>246</v>
      </c>
      <c r="J42" s="29" t="s">
        <v>317</v>
      </c>
    </row>
    <row r="43" ht="30" customHeight="1" spans="1:10">
      <c r="A43" s="8">
        <v>39</v>
      </c>
      <c r="B43" s="11" t="s">
        <v>318</v>
      </c>
      <c r="C43" s="12">
        <v>3</v>
      </c>
      <c r="D43" s="12">
        <v>3</v>
      </c>
      <c r="E43" s="13">
        <v>0.7</v>
      </c>
      <c r="F43" s="14">
        <v>2</v>
      </c>
      <c r="G43" s="25">
        <f t="shared" si="0"/>
        <v>3.15</v>
      </c>
      <c r="H43" s="24" t="s">
        <v>286</v>
      </c>
      <c r="I43" s="30" t="s">
        <v>246</v>
      </c>
      <c r="J43" s="28" t="s">
        <v>319</v>
      </c>
    </row>
    <row r="44" ht="30" customHeight="1" spans="1:10">
      <c r="A44" s="8">
        <v>40</v>
      </c>
      <c r="B44" s="17" t="s">
        <v>320</v>
      </c>
      <c r="C44" s="18">
        <v>4</v>
      </c>
      <c r="D44" s="18">
        <v>2</v>
      </c>
      <c r="E44" s="19">
        <v>0.55</v>
      </c>
      <c r="F44" s="20">
        <v>1.5</v>
      </c>
      <c r="G44" s="25">
        <f t="shared" si="0"/>
        <v>2.93333333333333</v>
      </c>
      <c r="H44" s="24" t="s">
        <v>286</v>
      </c>
      <c r="I44" s="30" t="s">
        <v>246</v>
      </c>
      <c r="J44" s="29" t="s">
        <v>321</v>
      </c>
    </row>
    <row r="45" ht="30" customHeight="1" spans="1:10">
      <c r="A45" s="8">
        <v>41</v>
      </c>
      <c r="B45" s="11" t="s">
        <v>322</v>
      </c>
      <c r="C45" s="12">
        <v>4</v>
      </c>
      <c r="D45" s="12">
        <v>2</v>
      </c>
      <c r="E45" s="13">
        <v>0.65</v>
      </c>
      <c r="F45" s="14">
        <v>2</v>
      </c>
      <c r="G45" s="25">
        <f t="shared" si="0"/>
        <v>2.6</v>
      </c>
      <c r="H45" s="24" t="s">
        <v>286</v>
      </c>
      <c r="I45" s="30" t="s">
        <v>246</v>
      </c>
      <c r="J45" s="28" t="s">
        <v>323</v>
      </c>
    </row>
    <row r="46" ht="30" customHeight="1" spans="1:10">
      <c r="A46" s="8">
        <v>42</v>
      </c>
      <c r="B46" s="17" t="s">
        <v>324</v>
      </c>
      <c r="C46" s="18">
        <v>5</v>
      </c>
      <c r="D46" s="18">
        <v>2</v>
      </c>
      <c r="E46" s="19">
        <v>0.45</v>
      </c>
      <c r="F46" s="20">
        <v>2</v>
      </c>
      <c r="G46" s="25">
        <f t="shared" si="0"/>
        <v>2.25</v>
      </c>
      <c r="H46" s="24" t="s">
        <v>286</v>
      </c>
      <c r="I46" s="30" t="s">
        <v>246</v>
      </c>
      <c r="J46" s="29" t="s">
        <v>325</v>
      </c>
    </row>
    <row r="47" ht="30" customHeight="1" spans="1:10">
      <c r="A47" s="8">
        <v>43</v>
      </c>
      <c r="B47" s="11" t="s">
        <v>326</v>
      </c>
      <c r="C47" s="12">
        <v>4</v>
      </c>
      <c r="D47" s="12">
        <v>3</v>
      </c>
      <c r="E47" s="13">
        <v>0.55</v>
      </c>
      <c r="F47" s="14">
        <v>3</v>
      </c>
      <c r="G47" s="25">
        <f t="shared" si="0"/>
        <v>2.2</v>
      </c>
      <c r="H47" s="24" t="s">
        <v>286</v>
      </c>
      <c r="I47" s="30" t="s">
        <v>246</v>
      </c>
      <c r="J47" s="28" t="s">
        <v>327</v>
      </c>
    </row>
    <row r="48" ht="30" customHeight="1" spans="1:10">
      <c r="A48" s="8">
        <v>44</v>
      </c>
      <c r="B48" s="17" t="s">
        <v>328</v>
      </c>
      <c r="C48" s="18">
        <v>4</v>
      </c>
      <c r="D48" s="18">
        <v>4</v>
      </c>
      <c r="E48" s="19">
        <v>0.4</v>
      </c>
      <c r="F48" s="20">
        <v>3</v>
      </c>
      <c r="G48" s="25">
        <f t="shared" si="0"/>
        <v>2.13333333333333</v>
      </c>
      <c r="H48" s="24" t="s">
        <v>286</v>
      </c>
      <c r="I48" s="30" t="s">
        <v>246</v>
      </c>
      <c r="J48" s="29" t="s">
        <v>329</v>
      </c>
    </row>
    <row r="49" ht="30" customHeight="1" spans="1:10">
      <c r="A49" s="8">
        <v>45</v>
      </c>
      <c r="B49" s="11" t="s">
        <v>330</v>
      </c>
      <c r="C49" s="12">
        <v>4</v>
      </c>
      <c r="D49" s="12">
        <v>3</v>
      </c>
      <c r="E49" s="13">
        <v>0.5</v>
      </c>
      <c r="F49" s="14">
        <v>3</v>
      </c>
      <c r="G49" s="25">
        <f t="shared" si="0"/>
        <v>2</v>
      </c>
      <c r="H49" s="24" t="s">
        <v>286</v>
      </c>
      <c r="I49" s="30" t="s">
        <v>246</v>
      </c>
      <c r="J49" s="28" t="s">
        <v>331</v>
      </c>
    </row>
    <row r="50" ht="30" customHeight="1" spans="1:10">
      <c r="A50" s="8">
        <v>46</v>
      </c>
      <c r="B50" s="17" t="s">
        <v>332</v>
      </c>
      <c r="C50" s="18">
        <v>3</v>
      </c>
      <c r="D50" s="18">
        <v>3</v>
      </c>
      <c r="E50" s="19">
        <v>0.6</v>
      </c>
      <c r="F50" s="20">
        <v>3</v>
      </c>
      <c r="G50" s="25">
        <f t="shared" si="0"/>
        <v>1.8</v>
      </c>
      <c r="H50" s="24" t="s">
        <v>286</v>
      </c>
      <c r="I50" s="30" t="s">
        <v>246</v>
      </c>
      <c r="J50" s="29" t="s">
        <v>333</v>
      </c>
    </row>
    <row r="51" ht="30" customHeight="1" spans="1:10">
      <c r="A51" s="8">
        <v>47</v>
      </c>
      <c r="B51" s="11" t="s">
        <v>334</v>
      </c>
      <c r="C51" s="12">
        <v>4</v>
      </c>
      <c r="D51" s="12">
        <v>3</v>
      </c>
      <c r="E51" s="13">
        <v>0.5</v>
      </c>
      <c r="F51" s="14">
        <v>4</v>
      </c>
      <c r="G51" s="25">
        <f t="shared" si="0"/>
        <v>1.5</v>
      </c>
      <c r="H51" s="24" t="s">
        <v>286</v>
      </c>
      <c r="I51" s="30" t="s">
        <v>246</v>
      </c>
      <c r="J51" s="28" t="s">
        <v>335</v>
      </c>
    </row>
    <row r="52" ht="30" customHeight="1" spans="1:10">
      <c r="A52" s="8">
        <v>48</v>
      </c>
      <c r="B52" s="17" t="s">
        <v>336</v>
      </c>
      <c r="C52" s="18">
        <v>3</v>
      </c>
      <c r="D52" s="18">
        <v>3</v>
      </c>
      <c r="E52" s="19">
        <v>0.5</v>
      </c>
      <c r="F52" s="20">
        <v>3.5</v>
      </c>
      <c r="G52" s="25">
        <f t="shared" si="0"/>
        <v>1.28571428571429</v>
      </c>
      <c r="H52" s="24" t="s">
        <v>286</v>
      </c>
      <c r="I52" s="30" t="s">
        <v>246</v>
      </c>
      <c r="J52" s="29" t="s">
        <v>337</v>
      </c>
    </row>
    <row r="53" ht="30" customHeight="1" spans="1:10">
      <c r="A53" s="8">
        <v>49</v>
      </c>
      <c r="B53" s="11" t="s">
        <v>338</v>
      </c>
      <c r="C53" s="12">
        <v>3</v>
      </c>
      <c r="D53" s="12">
        <v>3</v>
      </c>
      <c r="E53" s="13">
        <v>0.5</v>
      </c>
      <c r="F53" s="14">
        <v>4</v>
      </c>
      <c r="G53" s="25">
        <f t="shared" si="0"/>
        <v>1.125</v>
      </c>
      <c r="H53" s="24" t="s">
        <v>286</v>
      </c>
      <c r="I53" s="30" t="s">
        <v>246</v>
      </c>
      <c r="J53" s="28" t="s">
        <v>339</v>
      </c>
    </row>
    <row r="54" ht="30" customHeight="1" spans="1:10">
      <c r="A54" s="8">
        <v>50</v>
      </c>
      <c r="B54" s="17" t="s">
        <v>340</v>
      </c>
      <c r="C54" s="18">
        <v>3</v>
      </c>
      <c r="D54" s="18">
        <v>3</v>
      </c>
      <c r="E54" s="19">
        <v>0.35</v>
      </c>
      <c r="F54" s="20">
        <v>5</v>
      </c>
      <c r="G54" s="25">
        <f t="shared" si="0"/>
        <v>0.63</v>
      </c>
      <c r="H54" s="24" t="s">
        <v>286</v>
      </c>
      <c r="I54" s="30" t="s">
        <v>246</v>
      </c>
      <c r="J54" s="29" t="s">
        <v>341</v>
      </c>
    </row>
    <row r="56" spans="1:1">
      <c r="A56" s="26" t="s">
        <v>342</v>
      </c>
    </row>
  </sheetData>
  <mergeCells count="4">
    <mergeCell ref="A1:J1"/>
    <mergeCell ref="A2:J2"/>
    <mergeCell ref="A3:B3"/>
    <mergeCell ref="A56:J5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workbookViewId="0">
      <selection activeCell="A1" sqref="A1:B1"/>
    </sheetView>
  </sheetViews>
  <sheetFormatPr defaultColWidth="9" defaultRowHeight="14.4" outlineLevelCol="1"/>
  <cols>
    <col min="1" max="1" width="22" customWidth="1"/>
    <col min="2" max="2" width="70" customWidth="1"/>
  </cols>
  <sheetData>
    <row r="1" ht="40" customHeight="1" spans="1:1">
      <c r="A1" s="1" t="s">
        <v>343</v>
      </c>
    </row>
    <row r="2" ht="22" customHeight="1" spans="1:1">
      <c r="A2" s="2" t="s">
        <v>344</v>
      </c>
    </row>
    <row r="4" ht="30" customHeight="1" spans="1:1">
      <c r="A4" s="3" t="s">
        <v>345</v>
      </c>
    </row>
    <row r="5" ht="50" customHeight="1" spans="1:2">
      <c r="A5" s="4" t="s">
        <v>346</v>
      </c>
      <c r="B5" s="5" t="s">
        <v>347</v>
      </c>
    </row>
    <row r="7" ht="30" customHeight="1" spans="1:1">
      <c r="A7" s="3" t="s">
        <v>348</v>
      </c>
    </row>
    <row r="8" ht="32" customHeight="1" spans="1:2">
      <c r="A8" s="4" t="s">
        <v>349</v>
      </c>
      <c r="B8" s="5" t="s">
        <v>350</v>
      </c>
    </row>
    <row r="9" ht="32" customHeight="1" spans="1:2">
      <c r="A9" s="6" t="s">
        <v>351</v>
      </c>
      <c r="B9" s="7" t="s">
        <v>352</v>
      </c>
    </row>
    <row r="10" ht="32" customHeight="1" spans="1:2">
      <c r="A10" s="6" t="s">
        <v>351</v>
      </c>
      <c r="B10" s="7" t="s">
        <v>353</v>
      </c>
    </row>
    <row r="11" ht="32" customHeight="1" spans="1:2">
      <c r="A11" s="6" t="s">
        <v>351</v>
      </c>
      <c r="B11" s="7" t="s">
        <v>354</v>
      </c>
    </row>
    <row r="12" ht="32" customHeight="1" spans="1:2">
      <c r="A12" s="4" t="s">
        <v>355</v>
      </c>
      <c r="B12" s="5" t="s">
        <v>356</v>
      </c>
    </row>
    <row r="13" ht="32" customHeight="1" spans="1:2">
      <c r="A13" s="6" t="s">
        <v>351</v>
      </c>
      <c r="B13" s="7" t="s">
        <v>357</v>
      </c>
    </row>
    <row r="14" ht="32" customHeight="1" spans="1:2">
      <c r="A14" s="6" t="s">
        <v>351</v>
      </c>
      <c r="B14" s="7" t="s">
        <v>358</v>
      </c>
    </row>
    <row r="15" ht="32" customHeight="1" spans="1:2">
      <c r="A15" s="4" t="s">
        <v>359</v>
      </c>
      <c r="B15" s="5" t="s">
        <v>360</v>
      </c>
    </row>
    <row r="17" ht="30" customHeight="1" spans="1:1">
      <c r="A17" s="3" t="s">
        <v>361</v>
      </c>
    </row>
    <row r="18" ht="50" customHeight="1" spans="1:2">
      <c r="A18" s="4" t="s">
        <v>362</v>
      </c>
      <c r="B18" s="5" t="s">
        <v>363</v>
      </c>
    </row>
    <row r="19" ht="50" customHeight="1" spans="1:2">
      <c r="A19" s="4" t="s">
        <v>364</v>
      </c>
      <c r="B19" s="5" t="s">
        <v>365</v>
      </c>
    </row>
    <row r="20" ht="50" customHeight="1" spans="1:2">
      <c r="A20" s="4" t="s">
        <v>366</v>
      </c>
      <c r="B20" s="5" t="s">
        <v>367</v>
      </c>
    </row>
    <row r="21" ht="50" customHeight="1" spans="1:2">
      <c r="A21" s="4" t="s">
        <v>368</v>
      </c>
      <c r="B21" s="5" t="s">
        <v>369</v>
      </c>
    </row>
    <row r="22" ht="50" customHeight="1" spans="1:2">
      <c r="A22" s="4" t="s">
        <v>370</v>
      </c>
      <c r="B22" s="5" t="s">
        <v>371</v>
      </c>
    </row>
    <row r="23" ht="50" customHeight="1" spans="1:2">
      <c r="A23" s="4" t="s">
        <v>372</v>
      </c>
      <c r="B23" s="5" t="s">
        <v>373</v>
      </c>
    </row>
    <row r="24" ht="32" customHeight="1" spans="1:2">
      <c r="A24" s="4" t="s">
        <v>374</v>
      </c>
      <c r="B24" s="5" t="s">
        <v>375</v>
      </c>
    </row>
    <row r="25" ht="50" customHeight="1" spans="1:2">
      <c r="A25" s="4" t="s">
        <v>376</v>
      </c>
      <c r="B25" s="5" t="s">
        <v>377</v>
      </c>
    </row>
    <row r="26" ht="32" customHeight="1" spans="1:2">
      <c r="A26" s="4" t="s">
        <v>378</v>
      </c>
      <c r="B26" s="5" t="s">
        <v>379</v>
      </c>
    </row>
    <row r="27" ht="50" customHeight="1" spans="1:2">
      <c r="A27" s="4" t="s">
        <v>380</v>
      </c>
      <c r="B27" s="5" t="s">
        <v>381</v>
      </c>
    </row>
    <row r="28" ht="50" customHeight="1" spans="1:2">
      <c r="A28" s="4" t="s">
        <v>382</v>
      </c>
      <c r="B28" s="5" t="s">
        <v>383</v>
      </c>
    </row>
    <row r="30" ht="30" customHeight="1" spans="1:1">
      <c r="A30" s="3" t="s">
        <v>384</v>
      </c>
    </row>
    <row r="31" ht="50" customHeight="1" spans="1:2">
      <c r="A31" s="4" t="s">
        <v>385</v>
      </c>
      <c r="B31" s="5" t="s">
        <v>386</v>
      </c>
    </row>
    <row r="32" ht="50" customHeight="1" spans="1:2">
      <c r="A32" s="4" t="s">
        <v>387</v>
      </c>
      <c r="B32" s="5" t="s">
        <v>388</v>
      </c>
    </row>
    <row r="33" ht="50" customHeight="1" spans="1:2">
      <c r="A33" s="4" t="s">
        <v>389</v>
      </c>
      <c r="B33" s="5" t="s">
        <v>390</v>
      </c>
    </row>
    <row r="34" ht="50" customHeight="1" spans="1:2">
      <c r="A34" s="4" t="s">
        <v>391</v>
      </c>
      <c r="B34" s="5" t="s">
        <v>392</v>
      </c>
    </row>
    <row r="35" ht="50" customHeight="1" spans="1:2">
      <c r="A35" s="4" t="s">
        <v>393</v>
      </c>
      <c r="B35" s="5" t="s">
        <v>394</v>
      </c>
    </row>
    <row r="37" ht="30" customHeight="1" spans="1:1">
      <c r="A37" s="3" t="s">
        <v>395</v>
      </c>
    </row>
    <row r="38" ht="50" customHeight="1" spans="1:2">
      <c r="A38" s="4" t="s">
        <v>396</v>
      </c>
      <c r="B38" s="5" t="s">
        <v>397</v>
      </c>
    </row>
    <row r="39" ht="50" customHeight="1" spans="1:2">
      <c r="A39" s="4" t="s">
        <v>398</v>
      </c>
      <c r="B39" s="5" t="s">
        <v>399</v>
      </c>
    </row>
    <row r="40" ht="50" customHeight="1" spans="1:2">
      <c r="A40" s="4" t="s">
        <v>400</v>
      </c>
      <c r="B40" s="5" t="s">
        <v>401</v>
      </c>
    </row>
    <row r="41" ht="50" customHeight="1" spans="1:2">
      <c r="A41" s="4" t="s">
        <v>402</v>
      </c>
      <c r="B41" s="5" t="s">
        <v>403</v>
      </c>
    </row>
  </sheetData>
  <mergeCells count="7">
    <mergeCell ref="A1:B1"/>
    <mergeCell ref="A2:B2"/>
    <mergeCell ref="A4:B4"/>
    <mergeCell ref="A7:B7"/>
    <mergeCell ref="A17:B17"/>
    <mergeCell ref="A30:B30"/>
    <mergeCell ref="A37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 Feature List</vt:lpstr>
      <vt:lpstr>02 RICE Scoring</vt:lpstr>
      <vt:lpstr>03 MVP 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 Undhad</cp:lastModifiedBy>
  <dcterms:created xsi:type="dcterms:W3CDTF">2026-02-17T13:38:00Z</dcterms:created>
  <dcterms:modified xsi:type="dcterms:W3CDTF">2026-03-13T00:07:38Z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77D41FE2B338447DBD1BED7F4F008F1A_12</vt:lpwstr>
  </property>
  <property fmtid="{D5CDD505-2E9C-101B-9397-08002B2CF9AE}" pid="3" name="KSOProductBuildVer">
    <vt:lpwstr>1033-12.2.0.23196</vt:lpwstr>
  </property>
</Properties>
</file>